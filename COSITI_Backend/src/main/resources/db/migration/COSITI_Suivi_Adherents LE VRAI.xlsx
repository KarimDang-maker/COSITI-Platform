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1E17B39-81F0-485D-9819-839EF2107CF7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Tableau de bord" sheetId="1" r:id="rId1"/>
    <sheet name="Paramètres" sheetId="2" r:id="rId2"/>
    <sheet name="Adhérents" sheetId="3" r:id="rId3"/>
    <sheet name="Paiements" sheetId="4" r:id="rId4"/>
    <sheet name="Mode d'emploi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1" i="3" l="1"/>
  <c r="H101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G173" i="3"/>
  <c r="H173" i="3" s="1"/>
  <c r="G174" i="3"/>
  <c r="H174" i="3" s="1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3" i="3"/>
  <c r="H3" i="3" s="1"/>
  <c r="G4" i="3"/>
  <c r="H4" i="3" s="1"/>
  <c r="G5" i="3"/>
  <c r="H5" i="3" s="1"/>
  <c r="G6" i="3"/>
  <c r="H6" i="3" s="1"/>
  <c r="G186" i="4"/>
  <c r="G103" i="4"/>
  <c r="H202" i="3"/>
  <c r="F202" i="3"/>
  <c r="A202" i="3"/>
  <c r="H201" i="3"/>
  <c r="F201" i="3"/>
  <c r="A201" i="3"/>
  <c r="H200" i="3"/>
  <c r="F200" i="3"/>
  <c r="A200" i="3"/>
  <c r="H199" i="3"/>
  <c r="F199" i="3"/>
  <c r="A199" i="3"/>
  <c r="H198" i="3"/>
  <c r="F198" i="3"/>
  <c r="A198" i="3"/>
  <c r="H197" i="3"/>
  <c r="F197" i="3"/>
  <c r="A197" i="3"/>
  <c r="H196" i="3"/>
  <c r="F196" i="3"/>
  <c r="A196" i="3"/>
  <c r="H195" i="3"/>
  <c r="F195" i="3"/>
  <c r="A195" i="3"/>
  <c r="H194" i="3"/>
  <c r="F194" i="3"/>
  <c r="A194" i="3"/>
  <c r="H193" i="3"/>
  <c r="F193" i="3"/>
  <c r="A193" i="3"/>
  <c r="H192" i="3"/>
  <c r="F192" i="3"/>
  <c r="A192" i="3"/>
  <c r="H191" i="3"/>
  <c r="F191" i="3"/>
  <c r="A191" i="3"/>
  <c r="H190" i="3"/>
  <c r="F190" i="3"/>
  <c r="A190" i="3"/>
  <c r="H189" i="3"/>
  <c r="F189" i="3"/>
  <c r="A189" i="3"/>
  <c r="H188" i="3"/>
  <c r="F188" i="3"/>
  <c r="A188" i="3"/>
  <c r="H187" i="3"/>
  <c r="F187" i="3"/>
  <c r="A187" i="3"/>
  <c r="H186" i="3"/>
  <c r="F186" i="3"/>
  <c r="A186" i="3"/>
  <c r="H185" i="3"/>
  <c r="F185" i="3"/>
  <c r="A185" i="3"/>
  <c r="H184" i="3"/>
  <c r="F184" i="3"/>
  <c r="A184" i="3"/>
  <c r="H183" i="3"/>
  <c r="F183" i="3"/>
  <c r="A183" i="3"/>
  <c r="H182" i="3"/>
  <c r="F182" i="3"/>
  <c r="A182" i="3"/>
  <c r="H181" i="3"/>
  <c r="F181" i="3"/>
  <c r="A181" i="3"/>
  <c r="H180" i="3"/>
  <c r="F180" i="3"/>
  <c r="A180" i="3"/>
  <c r="H179" i="3"/>
  <c r="F179" i="3"/>
  <c r="A179" i="3"/>
  <c r="H178" i="3"/>
  <c r="F178" i="3"/>
  <c r="A178" i="3"/>
  <c r="H177" i="3"/>
  <c r="F177" i="3"/>
  <c r="A177" i="3"/>
  <c r="H176" i="3"/>
  <c r="F176" i="3"/>
  <c r="A176" i="3"/>
  <c r="H175" i="3"/>
  <c r="F175" i="3"/>
  <c r="A175" i="3"/>
  <c r="F174" i="3"/>
  <c r="F173" i="3"/>
  <c r="F172" i="3"/>
  <c r="F171" i="3"/>
  <c r="A171" i="3"/>
  <c r="F170" i="3"/>
  <c r="A170" i="3"/>
  <c r="F169" i="3"/>
  <c r="F168" i="3"/>
  <c r="F167" i="3"/>
  <c r="F166" i="3"/>
  <c r="F165" i="3"/>
  <c r="F164" i="3"/>
  <c r="F163" i="3"/>
  <c r="F162" i="3"/>
  <c r="F160" i="3"/>
  <c r="F159" i="3"/>
  <c r="A159" i="3"/>
  <c r="F158" i="3"/>
  <c r="A158" i="3"/>
  <c r="F157" i="3"/>
  <c r="A157" i="3"/>
  <c r="F156" i="3"/>
  <c r="A156" i="3"/>
  <c r="F155" i="3"/>
  <c r="A155" i="3"/>
  <c r="F154" i="3"/>
  <c r="F153" i="3"/>
  <c r="F152" i="3"/>
  <c r="F151" i="3"/>
  <c r="F150" i="3"/>
  <c r="A150" i="3"/>
  <c r="F149" i="3"/>
  <c r="A149" i="3"/>
  <c r="F148" i="3"/>
  <c r="A148" i="3"/>
  <c r="H147" i="3"/>
  <c r="F147" i="3"/>
  <c r="A147" i="3"/>
  <c r="F146" i="3"/>
  <c r="A146" i="3"/>
  <c r="F145" i="3"/>
  <c r="A145" i="3"/>
  <c r="F144" i="3"/>
  <c r="A144" i="3"/>
  <c r="F143" i="3"/>
  <c r="A143" i="3"/>
  <c r="F142" i="3"/>
  <c r="A142" i="3"/>
  <c r="F141" i="3"/>
  <c r="A141" i="3"/>
  <c r="F140" i="3"/>
  <c r="A140" i="3"/>
  <c r="F139" i="3"/>
  <c r="A139" i="3"/>
  <c r="F138" i="3"/>
  <c r="A138" i="3"/>
  <c r="F137" i="3"/>
  <c r="A137" i="3"/>
  <c r="F136" i="3"/>
  <c r="A136" i="3"/>
  <c r="F135" i="3"/>
  <c r="A135" i="3"/>
  <c r="F134" i="3"/>
  <c r="A134" i="3"/>
  <c r="F133" i="3"/>
  <c r="A133" i="3"/>
  <c r="F132" i="3"/>
  <c r="A132" i="3"/>
  <c r="F131" i="3"/>
  <c r="A131" i="3"/>
  <c r="F130" i="3"/>
  <c r="A130" i="3"/>
  <c r="F129" i="3"/>
  <c r="A129" i="3"/>
  <c r="F128" i="3"/>
  <c r="A128" i="3"/>
  <c r="F127" i="3"/>
  <c r="A127" i="3"/>
  <c r="F126" i="3"/>
  <c r="A126" i="3"/>
  <c r="F125" i="3"/>
  <c r="A125" i="3"/>
  <c r="F124" i="3"/>
  <c r="A124" i="3"/>
  <c r="F123" i="3"/>
  <c r="A123" i="3"/>
  <c r="F122" i="3"/>
  <c r="A122" i="3"/>
  <c r="F121" i="3"/>
  <c r="A121" i="3"/>
  <c r="F120" i="3"/>
  <c r="A120" i="3"/>
  <c r="F119" i="3"/>
  <c r="A119" i="3"/>
  <c r="F118" i="3"/>
  <c r="A118" i="3"/>
  <c r="F117" i="3"/>
  <c r="A117" i="3"/>
  <c r="F116" i="3"/>
  <c r="A116" i="3"/>
  <c r="F115" i="3"/>
  <c r="A115" i="3"/>
  <c r="F114" i="3"/>
  <c r="A114" i="3"/>
  <c r="F113" i="3"/>
  <c r="A113" i="3"/>
  <c r="H112" i="3"/>
  <c r="F112" i="3"/>
  <c r="F111" i="3"/>
  <c r="A111" i="3"/>
  <c r="F110" i="3"/>
  <c r="A110" i="3"/>
  <c r="F109" i="3"/>
  <c r="A109" i="3"/>
  <c r="F108" i="3"/>
  <c r="A108" i="3"/>
  <c r="F107" i="3"/>
  <c r="A107" i="3"/>
  <c r="F106" i="3"/>
  <c r="A106" i="3"/>
  <c r="F105" i="3"/>
  <c r="A105" i="3"/>
  <c r="F104" i="3"/>
  <c r="A104" i="3"/>
  <c r="F103" i="3"/>
  <c r="A103" i="3"/>
  <c r="F102" i="3"/>
  <c r="A102" i="3"/>
  <c r="F101" i="3"/>
  <c r="A101" i="3"/>
  <c r="F100" i="3"/>
  <c r="A100" i="3"/>
  <c r="F99" i="3"/>
  <c r="A99" i="3"/>
  <c r="F98" i="3"/>
  <c r="A98" i="3"/>
  <c r="F97" i="3"/>
  <c r="A97" i="3"/>
  <c r="F96" i="3"/>
  <c r="A96" i="3"/>
  <c r="F95" i="3"/>
  <c r="A95" i="3"/>
  <c r="F94" i="3"/>
  <c r="A94" i="3"/>
  <c r="F93" i="3"/>
  <c r="A93" i="3"/>
  <c r="F92" i="3"/>
  <c r="F91" i="3"/>
  <c r="A91" i="3"/>
  <c r="F90" i="3"/>
  <c r="A90" i="3"/>
  <c r="F89" i="3"/>
  <c r="A89" i="3"/>
  <c r="F88" i="3"/>
  <c r="A88" i="3"/>
  <c r="F87" i="3"/>
  <c r="A87" i="3"/>
  <c r="F86" i="3"/>
  <c r="A86" i="3"/>
  <c r="F85" i="3"/>
  <c r="A85" i="3"/>
  <c r="F84" i="3"/>
  <c r="A84" i="3"/>
  <c r="F83" i="3"/>
  <c r="A83" i="3"/>
  <c r="F82" i="3"/>
  <c r="A82" i="3"/>
  <c r="F81" i="3"/>
  <c r="A81" i="3"/>
  <c r="F80" i="3"/>
  <c r="A80" i="3"/>
  <c r="F79" i="3"/>
  <c r="A79" i="3"/>
  <c r="F78" i="3"/>
  <c r="A78" i="3"/>
  <c r="F77" i="3"/>
  <c r="A77" i="3"/>
  <c r="F76" i="3"/>
  <c r="F75" i="3"/>
  <c r="F74" i="3"/>
  <c r="A74" i="3"/>
  <c r="F73" i="3"/>
  <c r="A73" i="3"/>
  <c r="F72" i="3"/>
  <c r="A72" i="3"/>
  <c r="F71" i="3"/>
  <c r="F70" i="3"/>
  <c r="A70" i="3"/>
  <c r="F69" i="3"/>
  <c r="A69" i="3"/>
  <c r="F68" i="3"/>
  <c r="A68" i="3"/>
  <c r="F67" i="3"/>
  <c r="A67" i="3"/>
  <c r="F66" i="3"/>
  <c r="A66" i="3"/>
  <c r="F65" i="3"/>
  <c r="A65" i="3"/>
  <c r="F64" i="3"/>
  <c r="A64" i="3"/>
  <c r="F63" i="3"/>
  <c r="A63" i="3"/>
  <c r="F62" i="3"/>
  <c r="A62" i="3"/>
  <c r="F61" i="3"/>
  <c r="F60" i="3"/>
  <c r="A60" i="3"/>
  <c r="F59" i="3"/>
  <c r="A59" i="3"/>
  <c r="F58" i="3"/>
  <c r="A58" i="3"/>
  <c r="F57" i="3"/>
  <c r="A57" i="3"/>
  <c r="F56" i="3"/>
  <c r="A56" i="3"/>
  <c r="F55" i="3"/>
  <c r="A55" i="3"/>
  <c r="F54" i="3"/>
  <c r="A54" i="3"/>
  <c r="F53" i="3"/>
  <c r="A53" i="3"/>
  <c r="F52" i="3"/>
  <c r="A52" i="3"/>
  <c r="F51" i="3"/>
  <c r="F50" i="3"/>
  <c r="A50" i="3"/>
  <c r="F49" i="3"/>
  <c r="A49" i="3"/>
  <c r="F48" i="3"/>
  <c r="A48" i="3"/>
  <c r="F47" i="3"/>
  <c r="A47" i="3"/>
  <c r="F46" i="3"/>
  <c r="A46" i="3"/>
  <c r="F45" i="3"/>
  <c r="A45" i="3"/>
  <c r="F44" i="3"/>
  <c r="A44" i="3"/>
  <c r="F43" i="3"/>
  <c r="F42" i="3"/>
  <c r="A42" i="3"/>
  <c r="F41" i="3"/>
  <c r="A41" i="3"/>
  <c r="F40" i="3"/>
  <c r="F39" i="3"/>
  <c r="A39" i="3"/>
  <c r="F38" i="3"/>
  <c r="A38" i="3"/>
  <c r="F37" i="3"/>
  <c r="A37" i="3"/>
  <c r="F36" i="3"/>
  <c r="F35" i="3"/>
  <c r="A35" i="3"/>
  <c r="F34" i="3"/>
  <c r="A34" i="3"/>
  <c r="F33" i="3"/>
  <c r="A33" i="3"/>
  <c r="F32" i="3"/>
  <c r="A32" i="3"/>
  <c r="F31" i="3"/>
  <c r="A31" i="3"/>
  <c r="F30" i="3"/>
  <c r="A30" i="3"/>
  <c r="F29" i="3"/>
  <c r="A29" i="3"/>
  <c r="F28" i="3"/>
  <c r="A28" i="3"/>
  <c r="F27" i="3"/>
  <c r="A27" i="3"/>
  <c r="F26" i="3"/>
  <c r="A26" i="3"/>
  <c r="F25" i="3"/>
  <c r="A25" i="3"/>
  <c r="F24" i="3"/>
  <c r="A24" i="3"/>
  <c r="F23" i="3"/>
  <c r="A23" i="3"/>
  <c r="F22" i="3"/>
  <c r="A22" i="3"/>
  <c r="F21" i="3"/>
  <c r="A21" i="3"/>
  <c r="F20" i="3"/>
  <c r="A20" i="3"/>
  <c r="F19" i="3"/>
  <c r="A19" i="3"/>
  <c r="F18" i="3"/>
  <c r="A18" i="3"/>
  <c r="F17" i="3"/>
  <c r="A17" i="3"/>
  <c r="F16" i="3"/>
  <c r="A16" i="3"/>
  <c r="H15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A6" i="3"/>
  <c r="F5" i="3"/>
  <c r="A5" i="3"/>
  <c r="F4" i="3"/>
  <c r="A4" i="3"/>
  <c r="F3" i="3"/>
  <c r="A3" i="3"/>
  <c r="D20" i="1"/>
  <c r="D13" i="1"/>
  <c r="D6" i="1"/>
  <c r="D12" i="1" l="1"/>
  <c r="D15" i="1" s="1"/>
  <c r="D9" i="1"/>
  <c r="D18" i="1"/>
  <c r="D7" i="1"/>
  <c r="D8" i="1" s="1"/>
  <c r="D10" i="1" s="1"/>
</calcChain>
</file>

<file path=xl/sharedStrings.xml><?xml version="1.0" encoding="utf-8"?>
<sst xmlns="http://schemas.openxmlformats.org/spreadsheetml/2006/main" count="989" uniqueCount="247">
  <si>
    <t>COSITI — SUIVI DES ADHÉSIONS ET DES COTISATIONS</t>
  </si>
  <si>
    <t>Coopérative du Secteur Informel et des Travailleurs Indépendants</t>
  </si>
  <si>
    <t>Tableau de bord — se met à jour automatiquement à partir des feuilles "Adhérents" et "Paiements"</t>
  </si>
  <si>
    <t>Nombre d'adhérents enregistrés</t>
  </si>
  <si>
    <t>Adhérents ayant au moins une cotisation</t>
  </si>
  <si>
    <t>Adhérents sans cotisation enregistrée</t>
  </si>
  <si>
    <t>Adhérents à déclarer à la CNPS</t>
  </si>
  <si>
    <t>% adhérents sans cotisation</t>
  </si>
  <si>
    <t>Recettes d'inscription</t>
  </si>
  <si>
    <t>Total des cotisations perçues</t>
  </si>
  <si>
    <t>TOTAL GÉNÉRAL (inscriptions + cotisations)</t>
  </si>
  <si>
    <t>Cumul des cotisations des adhérents à déclarer CNPS</t>
  </si>
  <si>
    <t>Seuil de déclaration CNPS en vigueur (paramètre)</t>
  </si>
  <si>
    <t>Pour ajouter, modifier ou supprimer un adhérent ou une cotisation : voir l'onglet "Mode d'emploi".</t>
  </si>
  <si>
    <t>PARAMÈTRES GÉNÉRAUX</t>
  </si>
  <si>
    <t>Montant de l'inscription</t>
  </si>
  <si>
    <t>Utilisé automatiquement dans la feuille "Adhérents". Modifiez cette cellule pour changer le montant partout.</t>
  </si>
  <si>
    <t>Seuil de déclaration CNPS</t>
  </si>
  <si>
    <t>Cumul de cotisation à partir duquel un adhérent doit être déclaré à la CNPS. Estimé à partir des données transmises (dernier cas non déclaré : 16 500 F ; premier cas déclaré : 17 700 F) — à corriger si un seuil réglementaire précis est disponible.</t>
  </si>
  <si>
    <t>LÉGENDE DES COULEURS</t>
  </si>
  <si>
    <t>Cellule à saisir ou modifier (donnée d'entrée)</t>
  </si>
  <si>
    <t>Cellule calculée automatiquement — ne pas modifier</t>
  </si>
  <si>
    <t>Alerte : adhérent à déclarer à la CNPS</t>
  </si>
  <si>
    <t>ADHÉRENTS — LISTE ET COTISATIONS CUMULÉES</t>
  </si>
  <si>
    <t>N°</t>
  </si>
  <si>
    <t>Nom de l'adhérent</t>
  </si>
  <si>
    <t>Contact (optionnel)</t>
  </si>
  <si>
    <t>Date d'inscription</t>
  </si>
  <si>
    <t>Inscription payée (Oui/Non)</t>
  </si>
  <si>
    <t>Montant inscription</t>
  </si>
  <si>
    <t>Cotisation cumulée</t>
  </si>
  <si>
    <t>Statut CNPS</t>
  </si>
  <si>
    <t>Date déclaration CNPS</t>
  </si>
  <si>
    <t>NCHARE ISSOFA</t>
  </si>
  <si>
    <t>24/07/2026</t>
  </si>
  <si>
    <t>Oui</t>
  </si>
  <si>
    <t>SOUAÏBOU OUSMAILA</t>
  </si>
  <si>
    <t>YOUGOUTA</t>
  </si>
  <si>
    <t>BOUBA YOUNOUSSA</t>
  </si>
  <si>
    <t>MOHAMED MAMOUDOU</t>
  </si>
  <si>
    <t>DEZO TELIABOU</t>
  </si>
  <si>
    <t>GONDJI MAMADOU</t>
  </si>
  <si>
    <t>CHO RUBEN</t>
  </si>
  <si>
    <t>BIKIE MARGUERITE</t>
  </si>
  <si>
    <t>MBOLE CLEMENTINE</t>
  </si>
  <si>
    <t>LEGNYUY MONTONG</t>
  </si>
  <si>
    <t>FOSSO COLETTE</t>
  </si>
  <si>
    <t>MATEKEM TAKAM</t>
  </si>
  <si>
    <t>MAMIAFO CLEMENCE</t>
  </si>
  <si>
    <t>NGON MBASSA</t>
  </si>
  <si>
    <t>ZANG ZANG LUC</t>
  </si>
  <si>
    <t>DIKIDALA</t>
  </si>
  <si>
    <t>TOUKSI TSEME LEOPOLD</t>
  </si>
  <si>
    <t>SIPOWA CYRIEN</t>
  </si>
  <si>
    <t>MBENTY OLAMA L.</t>
  </si>
  <si>
    <t>NOMO JACQUES</t>
  </si>
  <si>
    <t>NDI THERESE</t>
  </si>
  <si>
    <t>NGONDI BRIGITTE</t>
  </si>
  <si>
    <t>TINA TONTON AUGUSTE</t>
  </si>
  <si>
    <t>ESSOLA AHANDA</t>
  </si>
  <si>
    <t>MESSEGO MEGANE C.</t>
  </si>
  <si>
    <t>TIODJOU VANESSA</t>
  </si>
  <si>
    <t>MAGNE FOPOSSI</t>
  </si>
  <si>
    <t>TEUNYA MBATKAM</t>
  </si>
  <si>
    <t>MBARGA JOSEPH</t>
  </si>
  <si>
    <t>MONABANG</t>
  </si>
  <si>
    <t>YAKANA</t>
  </si>
  <si>
    <t>PAIEMENTS DE COTISATIONS — JOURNAL DES VERSEMENTS</t>
  </si>
  <si>
    <t>Date</t>
  </si>
  <si>
    <t>Montant versé</t>
  </si>
  <si>
    <t>Mode de paiement</t>
  </si>
  <si>
    <t>Observations</t>
  </si>
  <si>
    <t>Non précisé</t>
  </si>
  <si>
    <t>Cumul repris du rapport financier du 24/07/2026</t>
  </si>
  <si>
    <t>MODE D'EMPLOI</t>
  </si>
  <si>
    <t>Structure du classeur</t>
  </si>
  <si>
    <t>• "Adhérents" — un adhérent par ligne : identité, inscription, et cotisation cumulée calculée automatiquement.</t>
  </si>
  <si>
    <t>• "Paiements" — un versement de cotisation par ligne. Un même adhérent peut apparaître sur plusieurs lignes (plusieurs paiements dans le temps).</t>
  </si>
  <si>
    <t>• "Tableau de bord" — indicateurs calculés automatiquement à partir des deux feuilles ci-dessus.</t>
  </si>
  <si>
    <t>• "Paramètres" — montant d'inscription et seuil CNPS, modifiables en un seul endroit.</t>
  </si>
  <si>
    <t>Ajouter un adhérent — Dans "Adhérents", allez à la première ligne vide et saisissez son nom (colonne B). Les colonnes N°, Montant inscription, Cotisation cumulée et Statut CNPS se calculent seules. Complétez éventuellement le contact, la date d'inscription et "Inscription payée" (Oui/Non).</t>
  </si>
  <si>
    <t>Supprimer un adhérent — Sélectionnez sa ligne dans "Adhérents" (clic droit sur le numéro de ligne) puis "Supprimer". Pensez à supprimer aussi ses lignes correspondantes dans "Paiements" si vous ne voulez plus les compter.</t>
  </si>
  <si>
    <t>Ajouter / mettre à jour une cotisation — Dans "Paiements", ajoutez une nouvelle ligne : Date, Nom (liste déroulante reliée à "Adhérents"), Montant, Mode de paiement. La cotisation cumulée de l'adhérent se met à jour automatiquement dans "Adhérents".</t>
  </si>
  <si>
    <t>Corriger une cotisation — Modifiez simplement le montant sur la ligne concernée dans "Paiements".</t>
  </si>
  <si>
    <t>Supprimer une cotisation — Supprimez la ligne correspondante dans "Paiements".</t>
  </si>
  <si>
    <t>Suivi CNPS — La colonne "Statut CNPS" de "Adhérents" passe automatiquement à "À déclarer" (ligne surlignée en rouge) dès que le cumul de cotisation d'un adhérent atteint le seuil défini dans "Paramètres".</t>
  </si>
  <si>
    <t>Remarque sur les données initiales — Les 39 adhérents nommés reprennent l'état détaillé du rapport financier du 24/07/2026. Les 109 lignes "Adhérent à compléter n°..." représentent les autres adhérents déjà enregistrés (148 au total) dont le détail nominatif n'avait pas encore été transmis : remplacez ces libellés par les vrais noms au fur et à mesure de leur réception.</t>
  </si>
  <si>
    <t>KUETCHE</t>
  </si>
  <si>
    <t>PEYOU ABDOUL</t>
  </si>
  <si>
    <t>KAMENI DENGA</t>
  </si>
  <si>
    <t>BEFOLO RAISSA</t>
  </si>
  <si>
    <t>EDAMA MENGUE CLAUDE</t>
  </si>
  <si>
    <t>SALY DJIBI</t>
  </si>
  <si>
    <t>EBASSA BIDJOMO</t>
  </si>
  <si>
    <t>NSANGOU</t>
  </si>
  <si>
    <t>ESSOMBA RICHARD</t>
  </si>
  <si>
    <t xml:space="preserve">AFAM NEMBOT ELISEE </t>
  </si>
  <si>
    <t xml:space="preserve">NGAN NYOBE  </t>
  </si>
  <si>
    <t xml:space="preserve">MAHOP MAHOP </t>
  </si>
  <si>
    <t xml:space="preserve">BADA ARSENE </t>
  </si>
  <si>
    <t xml:space="preserve">ATIKI BLAI NESTOR </t>
  </si>
  <si>
    <t>TATIKOU ARMAND</t>
  </si>
  <si>
    <t>MANGA ZOU CLEMENTINE</t>
  </si>
  <si>
    <t>10/06/20236</t>
  </si>
  <si>
    <t xml:space="preserve">BOLE JONATHAN </t>
  </si>
  <si>
    <t>TEHNA SALOMON</t>
  </si>
  <si>
    <t>NGO GWUET REGINE</t>
  </si>
  <si>
    <t>MAKODJO EPSE RAMSY</t>
  </si>
  <si>
    <t>BODO BOYOMO</t>
  </si>
  <si>
    <t>FEUZEU NGOUSSOU</t>
  </si>
  <si>
    <t xml:space="preserve">NONHON </t>
  </si>
  <si>
    <t xml:space="preserve">FONE MAMA </t>
  </si>
  <si>
    <t xml:space="preserve">NGO MATJEL KONA </t>
  </si>
  <si>
    <t>NDZIE NKOUDA EMILIENNE</t>
  </si>
  <si>
    <t>NTSAMA NKOUDA DESIRE</t>
  </si>
  <si>
    <t>NGONG CALISTA</t>
  </si>
  <si>
    <t xml:space="preserve">DONTCHEG PATRICK </t>
  </si>
  <si>
    <t>DJIMENE YEMETIO</t>
  </si>
  <si>
    <t xml:space="preserve">MO´O NDONGO </t>
  </si>
  <si>
    <t>ABITINA BARNABE</t>
  </si>
  <si>
    <t>DOMPNOU GERILAIN</t>
  </si>
  <si>
    <t>MOHAMADOU AMIDOU</t>
  </si>
  <si>
    <t>SALI ABASOULAYE</t>
  </si>
  <si>
    <t xml:space="preserve">VOUGMO SEVERIN </t>
  </si>
  <si>
    <t xml:space="preserve">ONANA LOUIS </t>
  </si>
  <si>
    <t>NANGA BOM MURIELLE</t>
  </si>
  <si>
    <t xml:space="preserve">PROMBO JULLY </t>
  </si>
  <si>
    <t>148/06/2026</t>
  </si>
  <si>
    <t xml:space="preserve">KAMTO DJOKO LEGER </t>
  </si>
  <si>
    <t xml:space="preserve">MVILINGO HUBERT </t>
  </si>
  <si>
    <t>BOUM JEAN LUC</t>
  </si>
  <si>
    <t xml:space="preserve">KOUNYANG MATHIEU </t>
  </si>
  <si>
    <t xml:space="preserve">TACHIEGOUM JOSEPH </t>
  </si>
  <si>
    <t>TCHOFFO KAMTA JEAN OSCAR</t>
  </si>
  <si>
    <t xml:space="preserve">ESSAMA MBARGA </t>
  </si>
  <si>
    <t xml:space="preserve">SARLAM FELICITE </t>
  </si>
  <si>
    <t>NJI MFIRE NJIMESSA</t>
  </si>
  <si>
    <t xml:space="preserve">KEDI STEPHANIE </t>
  </si>
  <si>
    <t>MDISUFAH MESES NDUEH</t>
  </si>
  <si>
    <t>ISMAEL</t>
  </si>
  <si>
    <t>FOUMANE YANNICK</t>
  </si>
  <si>
    <t>MOSSO GUILANG</t>
  </si>
  <si>
    <t xml:space="preserve">NGOUMOUCHRISTINE </t>
  </si>
  <si>
    <t xml:space="preserve">JANETTE </t>
  </si>
  <si>
    <t xml:space="preserve">KADJINANDAB ERIC </t>
  </si>
  <si>
    <t>DJIODJO BOULA</t>
  </si>
  <si>
    <t xml:space="preserve">NANTCHOUANG </t>
  </si>
  <si>
    <t xml:space="preserve">DJAM A NOKO WILLIAM </t>
  </si>
  <si>
    <t>BEYALA ONDOA</t>
  </si>
  <si>
    <t xml:space="preserve">CHIOGO DJOUMESSI </t>
  </si>
  <si>
    <t xml:space="preserve">MBESSOLE NADEGE FLORE </t>
  </si>
  <si>
    <t xml:space="preserve">BIDJOCKA </t>
  </si>
  <si>
    <t xml:space="preserve">NGA PHILLIBERT </t>
  </si>
  <si>
    <t xml:space="preserve">DJOUKAM MANUELA </t>
  </si>
  <si>
    <t xml:space="preserve">ONANA NYEBE </t>
  </si>
  <si>
    <t xml:space="preserve">ETOUNDI DAMIEN ARTHUR </t>
  </si>
  <si>
    <t xml:space="preserve">MGBE MFAIN GALISTE </t>
  </si>
  <si>
    <t xml:space="preserve">KUETE NGOUPAYE </t>
  </si>
  <si>
    <t xml:space="preserve">NDENGUELEME </t>
  </si>
  <si>
    <t xml:space="preserve">MUFUA JUDE TOHVIAH </t>
  </si>
  <si>
    <t xml:space="preserve">TEDONGIMO FREDERIC </t>
  </si>
  <si>
    <t xml:space="preserve">FOUDA FOUDA </t>
  </si>
  <si>
    <t xml:space="preserve">BIYON A BITOKO </t>
  </si>
  <si>
    <t xml:space="preserve">ADAOUA NDENGUE </t>
  </si>
  <si>
    <t xml:space="preserve">MBOUM CHEDJO FRANCIS </t>
  </si>
  <si>
    <t xml:space="preserve">MFOUAPON ALASSA </t>
  </si>
  <si>
    <t xml:space="preserve">KEPSEU FIDELINE </t>
  </si>
  <si>
    <t xml:space="preserve">OLOWA SHUNA </t>
  </si>
  <si>
    <t xml:space="preserve">NGONO NKONO </t>
  </si>
  <si>
    <t xml:space="preserve">NGONO MBARGA </t>
  </si>
  <si>
    <t xml:space="preserve">MENGUE VALERIE </t>
  </si>
  <si>
    <t xml:space="preserve">MVONDO ONANA </t>
  </si>
  <si>
    <t xml:space="preserve">NDI ATEBA ISIDORE </t>
  </si>
  <si>
    <t xml:space="preserve">ABOMO CESARINE </t>
  </si>
  <si>
    <t xml:space="preserve">MBASSI URSULE </t>
  </si>
  <si>
    <t>AMBOLAMOA PELAGIE</t>
  </si>
  <si>
    <t>MENDOH MARIE</t>
  </si>
  <si>
    <t xml:space="preserve">MBALLA PRISCA </t>
  </si>
  <si>
    <t xml:space="preserve">NGANDO YVE LANDRY </t>
  </si>
  <si>
    <t xml:space="preserve">MOUAFO </t>
  </si>
  <si>
    <t>HAMADOU OUMAROU</t>
  </si>
  <si>
    <t xml:space="preserve">ZAITOUNA </t>
  </si>
  <si>
    <t>EKOUNDA MARIE</t>
  </si>
  <si>
    <t xml:space="preserve">BOULY JEANNE </t>
  </si>
  <si>
    <t>DONSA NELSON</t>
  </si>
  <si>
    <t>MVODO JOSEPH</t>
  </si>
  <si>
    <t>AMOUGOU NKOLO</t>
  </si>
  <si>
    <t>YANGOUE</t>
  </si>
  <si>
    <t>MASSINA</t>
  </si>
  <si>
    <t>KAMTE JOEL LOIC</t>
  </si>
  <si>
    <t>ANDELA</t>
  </si>
  <si>
    <t>24/07/2027</t>
  </si>
  <si>
    <t>Orange Money</t>
  </si>
  <si>
    <t>Espèces</t>
  </si>
  <si>
    <t>Pour regularisation par RAF</t>
  </si>
  <si>
    <t>KOUNOU MBEGA</t>
  </si>
  <si>
    <t>KORA CELINE RODRIGUE</t>
  </si>
  <si>
    <t xml:space="preserve">NZIE MARIE </t>
  </si>
  <si>
    <t xml:space="preserve">ATEBA PASCALINE </t>
  </si>
  <si>
    <t>ONDOA NGONDI</t>
  </si>
  <si>
    <t xml:space="preserve">MEKOUI NKODO MIREILLE </t>
  </si>
  <si>
    <t>POUR REGULARISATION DE 1000</t>
  </si>
  <si>
    <t xml:space="preserve">NGOUNTOU TCHINDA </t>
  </si>
  <si>
    <t>TCHAPHOU MAGLOIRE</t>
  </si>
  <si>
    <t xml:space="preserve">MEGOUANG FOMBA NELLY </t>
  </si>
  <si>
    <t>MBESSOLOKO NADEGE</t>
  </si>
  <si>
    <t>PLAKAM JEAN PIERRE</t>
  </si>
  <si>
    <t xml:space="preserve">MINKONGO MINKONGO </t>
  </si>
  <si>
    <t>MINKONGO MINKONGO</t>
  </si>
  <si>
    <t>KENGNE MAGLOIRE</t>
  </si>
  <si>
    <t xml:space="preserve">KENGNE MAGLOIRE </t>
  </si>
  <si>
    <t>EDONZONG ROMUALD</t>
  </si>
  <si>
    <t xml:space="preserve">EDONZONG ROMUALD </t>
  </si>
  <si>
    <t>MABACOU SOLANGE</t>
  </si>
  <si>
    <t>OUI</t>
  </si>
  <si>
    <t>YOUNKSI ALICE</t>
  </si>
  <si>
    <t>BRINEL NDJABONE BABILA</t>
  </si>
  <si>
    <t>MANDJACK JOSEPH</t>
  </si>
  <si>
    <t>HALIMA   CATHERINE</t>
  </si>
  <si>
    <t>NGONO JULIENNE</t>
  </si>
  <si>
    <t>KOUADJO EDVIGE</t>
  </si>
  <si>
    <t xml:space="preserve">BISSECK BUCK KEVIN </t>
  </si>
  <si>
    <t>jh</t>
  </si>
  <si>
    <t xml:space="preserve">OKILI OKILI ARISTIDE </t>
  </si>
  <si>
    <t xml:space="preserve">ATANGANA ALBERT </t>
  </si>
  <si>
    <t>AMBASSA MENGUE</t>
  </si>
  <si>
    <t>MoMo</t>
  </si>
  <si>
    <t xml:space="preserve">LONLA SIDONIE </t>
  </si>
  <si>
    <t>OWONA EKOUDI MONIQUE</t>
  </si>
  <si>
    <t>MVOMO</t>
  </si>
  <si>
    <t>MVOMO GERMAIN</t>
  </si>
  <si>
    <t>YEMENDA VANESSA</t>
  </si>
  <si>
    <t xml:space="preserve">ARETOUMAP DENIS </t>
  </si>
  <si>
    <t>MBOMO  ATANGANA</t>
  </si>
  <si>
    <t>F</t>
  </si>
  <si>
    <t>OLANGUENA NKONO SYLVAIN</t>
  </si>
  <si>
    <t>BANKENG EDITH</t>
  </si>
  <si>
    <t xml:space="preserve">     </t>
  </si>
  <si>
    <t>Especes</t>
  </si>
  <si>
    <t>ASSOMO MARIE</t>
  </si>
  <si>
    <t>Inscription plutôt</t>
  </si>
  <si>
    <t>regularisation du 11</t>
  </si>
  <si>
    <t xml:space="preserve">CHI MARCEL </t>
  </si>
  <si>
    <t>NKOUMOU HELENE</t>
  </si>
  <si>
    <t>MTN</t>
  </si>
  <si>
    <t>REG</t>
  </si>
  <si>
    <t>SEKE MANNUELA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</si>
</sst>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F&quot;"/>
  </numFmts>
  <fonts count="26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C00000"/>
      <name val="Arial"/>
      <charset val="1"/>
    </font>
    <font>
      <i/>
      <sz val="9"/>
      <name val="Arial"/>
      <charset val="1"/>
    </font>
    <font>
      <i/>
      <sz val="10"/>
      <color rgb="FF808080"/>
      <name val="Arial"/>
      <charset val="1"/>
    </font>
    <font>
      <b/>
      <sz val="14"/>
      <color rgb="FF1F3864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9"/>
      <name val="Arial"/>
      <charset val="1"/>
    </font>
    <font>
      <b/>
      <sz val="13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8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charset val="1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1"/>
      <color rgb="FFC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DECEA"/>
      </patternFill>
    </fill>
    <fill>
      <patternFill patternType="solid">
        <fgColor rgb="FFE8EEF7"/>
        <bgColor rgb="FFFDECEA"/>
      </patternFill>
    </fill>
    <fill>
      <patternFill patternType="solid">
        <fgColor rgb="FFFDECEA"/>
        <bgColor rgb="FFE8EEF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/>
    <xf numFmtId="0" fontId="0" fillId="2" borderId="0" xfId="0" applyFill="1"/>
    <xf numFmtId="165" fontId="7" fillId="2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0" borderId="0" xfId="0" applyFont="1"/>
    <xf numFmtId="165" fontId="10" fillId="0" borderId="0" xfId="0" applyNumberFormat="1" applyFont="1" applyAlignment="1">
      <alignment horizontal="center"/>
    </xf>
    <xf numFmtId="0" fontId="11" fillId="0" borderId="0" xfId="0" applyFont="1"/>
    <xf numFmtId="165" fontId="12" fillId="3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/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top" wrapText="1"/>
    </xf>
    <xf numFmtId="14" fontId="12" fillId="6" borderId="1" xfId="0" applyNumberFormat="1" applyFont="1" applyFill="1" applyBorder="1" applyAlignment="1">
      <alignment horizontal="center"/>
    </xf>
    <xf numFmtId="0" fontId="12" fillId="6" borderId="1" xfId="0" applyFont="1" applyFill="1" applyBorder="1"/>
    <xf numFmtId="165" fontId="12" fillId="6" borderId="1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0" fillId="6" borderId="0" xfId="0" applyFill="1"/>
    <xf numFmtId="165" fontId="0" fillId="0" borderId="0" xfId="0" applyNumberForma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5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/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5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0" xfId="0" applyFont="1"/>
    <xf numFmtId="0" fontId="12" fillId="0" borderId="2" xfId="0" applyFont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0" fontId="12" fillId="0" borderId="6" xfId="0" applyFont="1" applyBorder="1"/>
    <xf numFmtId="0" fontId="0" fillId="0" borderId="3" xfId="0" applyBorder="1"/>
    <xf numFmtId="0" fontId="17" fillId="7" borderId="1" xfId="0" applyFont="1" applyFill="1" applyBorder="1" applyAlignment="1">
      <alignment horizontal="center" vertical="center"/>
    </xf>
    <xf numFmtId="0" fontId="12" fillId="7" borderId="1" xfId="0" applyFont="1" applyFill="1" applyBorder="1"/>
    <xf numFmtId="14" fontId="12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165" fontId="17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0" fillId="7" borderId="0" xfId="0" applyFill="1"/>
    <xf numFmtId="3" fontId="12" fillId="0" borderId="1" xfId="0" applyNumberFormat="1" applyFont="1" applyBorder="1"/>
    <xf numFmtId="0" fontId="3" fillId="0" borderId="0" xfId="0" applyFont="1"/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CEA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42" customWidth="1"/>
    <col min="3" max="3" width="4" customWidth="1"/>
    <col min="4" max="4" width="20" customWidth="1"/>
    <col min="5" max="6" width="4" customWidth="1"/>
  </cols>
  <sheetData>
    <row r="2" spans="2:4" ht="19.5" x14ac:dyDescent="0.3">
      <c r="B2" s="2" t="s">
        <v>0</v>
      </c>
    </row>
    <row r="3" spans="2:4" x14ac:dyDescent="0.25">
      <c r="B3" s="3" t="s">
        <v>1</v>
      </c>
    </row>
    <row r="4" spans="2:4" x14ac:dyDescent="0.25">
      <c r="B4" s="1" t="s">
        <v>2</v>
      </c>
    </row>
    <row r="6" spans="2:4" ht="15.75" x14ac:dyDescent="0.25">
      <c r="B6" s="4" t="s">
        <v>3</v>
      </c>
      <c r="D6" s="5">
        <f>COUNTIF(Adhérents!B3:B202,"?*")</f>
        <v>172</v>
      </c>
    </row>
    <row r="7" spans="2:4" ht="15.75" x14ac:dyDescent="0.25">
      <c r="B7" s="4" t="s">
        <v>4</v>
      </c>
      <c r="D7" s="5">
        <f>COUNTIFS(Adhérents!B3:B202,"?*",Adhérents!G3:G202,"&gt;0")</f>
        <v>57</v>
      </c>
    </row>
    <row r="8" spans="2:4" ht="15.75" x14ac:dyDescent="0.25">
      <c r="B8" s="4" t="s">
        <v>5</v>
      </c>
      <c r="D8" s="5">
        <f>D6-D7</f>
        <v>115</v>
      </c>
    </row>
    <row r="9" spans="2:4" ht="15.75" x14ac:dyDescent="0.25">
      <c r="B9" s="4" t="s">
        <v>6</v>
      </c>
      <c r="D9" s="5">
        <f>COUNTIF(Adhérents!H3:H202,"À déclarer")</f>
        <v>29</v>
      </c>
    </row>
    <row r="10" spans="2:4" ht="15.75" x14ac:dyDescent="0.25">
      <c r="B10" s="4" t="s">
        <v>7</v>
      </c>
      <c r="D10" s="6">
        <f>IFERROR(D8/D6,0)</f>
        <v>0.66860465116279066</v>
      </c>
    </row>
    <row r="12" spans="2:4" ht="15.75" x14ac:dyDescent="0.25">
      <c r="B12" s="4" t="s">
        <v>8</v>
      </c>
      <c r="D12" s="7">
        <f>SUM(Adhérents!F3:F202)</f>
        <v>172000</v>
      </c>
    </row>
    <row r="13" spans="2:4" ht="15.75" x14ac:dyDescent="0.25">
      <c r="B13" s="4" t="s">
        <v>9</v>
      </c>
      <c r="D13" s="7">
        <f>SUM(Paiements!C3:C506)</f>
        <v>1305700</v>
      </c>
    </row>
    <row r="15" spans="2:4" ht="15.75" x14ac:dyDescent="0.25">
      <c r="B15" s="8" t="s">
        <v>10</v>
      </c>
      <c r="C15" s="9"/>
      <c r="D15" s="10">
        <f>D12+D13</f>
        <v>1477700</v>
      </c>
    </row>
    <row r="18" spans="2:4" ht="15.75" x14ac:dyDescent="0.25">
      <c r="B18" s="4" t="s">
        <v>11</v>
      </c>
      <c r="D18" s="11">
        <f>SUMIF(Adhérents!H3:H202,"À déclarer",Adhérents!G3:G202)</f>
        <v>1160000</v>
      </c>
    </row>
    <row r="20" spans="2:4" x14ac:dyDescent="0.25">
      <c r="B20" s="12" t="s">
        <v>12</v>
      </c>
      <c r="D20" s="13">
        <f>Paramètres!C5</f>
        <v>15000</v>
      </c>
    </row>
    <row r="23" spans="2:4" x14ac:dyDescent="0.25">
      <c r="B23" s="64" t="s">
        <v>13</v>
      </c>
      <c r="C23" s="64"/>
      <c r="D23" s="64"/>
    </row>
  </sheetData>
  <mergeCells count="1">
    <mergeCell ref="B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0"/>
  <sheetViews>
    <sheetView showGridLines="0" zoomScaleNormal="100" workbookViewId="0">
      <selection activeCell="D20" sqref="D20"/>
    </sheetView>
  </sheetViews>
  <sheetFormatPr baseColWidth="10" defaultColWidth="8.7109375" defaultRowHeight="15" x14ac:dyDescent="0.25"/>
  <cols>
    <col min="1" max="1" width="3" customWidth="1"/>
    <col min="2" max="2" width="34" customWidth="1"/>
    <col min="3" max="3" width="16" customWidth="1"/>
    <col min="4" max="4" width="55" customWidth="1"/>
  </cols>
  <sheetData>
    <row r="2" spans="2:4" ht="18" x14ac:dyDescent="0.25">
      <c r="B2" s="14" t="s">
        <v>14</v>
      </c>
    </row>
    <row r="4" spans="2:4" ht="24" x14ac:dyDescent="0.25">
      <c r="B4" s="4" t="s">
        <v>15</v>
      </c>
      <c r="C4" s="15">
        <v>1000</v>
      </c>
      <c r="D4" s="16" t="s">
        <v>16</v>
      </c>
    </row>
    <row r="5" spans="2:4" ht="49.5" customHeight="1" x14ac:dyDescent="0.25">
      <c r="B5" s="4" t="s">
        <v>17</v>
      </c>
      <c r="C5" s="15">
        <v>15000</v>
      </c>
      <c r="D5" s="16" t="s">
        <v>18</v>
      </c>
    </row>
    <row r="7" spans="2:4" ht="15.75" x14ac:dyDescent="0.25">
      <c r="B7" s="17" t="s">
        <v>19</v>
      </c>
    </row>
    <row r="8" spans="2:4" x14ac:dyDescent="0.25">
      <c r="B8" s="18"/>
      <c r="C8" s="65" t="s">
        <v>20</v>
      </c>
      <c r="D8" s="65"/>
    </row>
    <row r="9" spans="2:4" x14ac:dyDescent="0.25">
      <c r="B9" s="19"/>
      <c r="C9" s="65" t="s">
        <v>21</v>
      </c>
      <c r="D9" s="65"/>
    </row>
    <row r="10" spans="2:4" x14ac:dyDescent="0.25">
      <c r="B10" s="20"/>
      <c r="C10" s="65" t="s">
        <v>22</v>
      </c>
      <c r="D10" s="65"/>
    </row>
  </sheetData>
  <mergeCells count="3">
    <mergeCell ref="C8:D8"/>
    <mergeCell ref="C9:D9"/>
    <mergeCell ref="C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2"/>
  <sheetViews>
    <sheetView showGridLines="0" zoomScale="140" zoomScaleNormal="140" workbookViewId="0">
      <pane ySplit="2" topLeftCell="A9" activePane="bottomLeft" state="frozen"/>
      <selection pane="bottomLeft" activeCell="G174" sqref="G174"/>
    </sheetView>
  </sheetViews>
  <sheetFormatPr baseColWidth="10" defaultColWidth="8.7109375" defaultRowHeight="15" x14ac:dyDescent="0.25"/>
  <cols>
    <col min="1" max="1" width="6" customWidth="1"/>
    <col min="2" max="2" width="28" customWidth="1"/>
    <col min="3" max="3" width="16" customWidth="1"/>
    <col min="4" max="4" width="14" customWidth="1"/>
    <col min="5" max="5" width="12" customWidth="1"/>
    <col min="6" max="6" width="14" customWidth="1"/>
    <col min="7" max="9" width="16" customWidth="1"/>
  </cols>
  <sheetData>
    <row r="1" spans="1:13" ht="16.5" x14ac:dyDescent="0.25">
      <c r="A1" s="66" t="s">
        <v>23</v>
      </c>
      <c r="B1" s="66"/>
      <c r="C1" s="66"/>
      <c r="D1" s="66"/>
      <c r="E1" s="66"/>
      <c r="F1" s="66"/>
      <c r="G1" s="66"/>
      <c r="H1" s="66"/>
      <c r="I1" s="66"/>
      <c r="J1" s="67"/>
      <c r="K1" s="68"/>
      <c r="L1" s="68"/>
      <c r="M1" s="68"/>
    </row>
    <row r="2" spans="1:13" ht="30" customHeight="1" x14ac:dyDescent="0.25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31</v>
      </c>
      <c r="I2" s="21" t="s">
        <v>32</v>
      </c>
      <c r="J2" s="68"/>
      <c r="K2" s="68"/>
      <c r="L2" s="68"/>
      <c r="M2" s="68"/>
    </row>
    <row r="3" spans="1:13" x14ac:dyDescent="0.25">
      <c r="A3" s="22">
        <f t="shared" ref="A3:A34" si="0">IF(B3="","",ROW()-2)</f>
        <v>1</v>
      </c>
      <c r="B3" s="23" t="s">
        <v>33</v>
      </c>
      <c r="C3" s="23">
        <v>699897937</v>
      </c>
      <c r="D3" s="24" t="s">
        <v>34</v>
      </c>
      <c r="E3" s="25" t="s">
        <v>35</v>
      </c>
      <c r="F3" s="26">
        <f>IF(E3="Oui",Paramètres!$C$4,0)</f>
        <v>1000</v>
      </c>
      <c r="G3" s="26">
        <f>IF(B3="","",SUMIF(Paiements!$B$3:$B$506,B3,Paiements!$C$3:$C$506))</f>
        <v>42000</v>
      </c>
      <c r="H3" s="27" t="str">
        <f>IF(B3="","",IF(G3&gt;=Paramètres!$C$5,"À déclarer","—"))</f>
        <v>À déclarer</v>
      </c>
      <c r="I3" s="24">
        <v>46231</v>
      </c>
    </row>
    <row r="4" spans="1:13" x14ac:dyDescent="0.25">
      <c r="A4" s="22">
        <f t="shared" si="0"/>
        <v>2</v>
      </c>
      <c r="B4" s="23" t="s">
        <v>36</v>
      </c>
      <c r="C4" s="23">
        <v>697875141</v>
      </c>
      <c r="D4" s="24" t="s">
        <v>34</v>
      </c>
      <c r="E4" s="25" t="s">
        <v>35</v>
      </c>
      <c r="F4" s="26">
        <f>IF(E4="Oui",Paramètres!$C$4,0)</f>
        <v>1000</v>
      </c>
      <c r="G4" s="26">
        <f>IF(B4="","",SUMIF(Paiements!$B$3:$B$506,B4,Paiements!$C$3:$C$506))</f>
        <v>49300</v>
      </c>
      <c r="H4" s="27" t="str">
        <f>IF(B4="","",IF(G4&gt;=Paramètres!$C$5,"À déclarer","—"))</f>
        <v>À déclarer</v>
      </c>
      <c r="I4" s="24">
        <v>46219</v>
      </c>
    </row>
    <row r="5" spans="1:13" x14ac:dyDescent="0.25">
      <c r="A5" s="22">
        <f t="shared" si="0"/>
        <v>3</v>
      </c>
      <c r="B5" s="37" t="s">
        <v>37</v>
      </c>
      <c r="C5" s="37"/>
      <c r="D5" s="38" t="s">
        <v>34</v>
      </c>
      <c r="E5" s="39" t="s">
        <v>35</v>
      </c>
      <c r="F5" s="40">
        <f>IF(E5="Oui",Paramètres!$C$4,0)</f>
        <v>1000</v>
      </c>
      <c r="G5" s="40">
        <f>IF(B5="","",SUMIF(Paiements!$B$3:$B$506,B5,Paiements!$C$3:$C$506))</f>
        <v>4900</v>
      </c>
      <c r="H5" s="41" t="str">
        <f>IF(B5="","",IF(G5&gt;=Paramètres!$C$5,"À déclarer","—"))</f>
        <v>—</v>
      </c>
      <c r="I5" s="24"/>
    </row>
    <row r="6" spans="1:13" x14ac:dyDescent="0.25">
      <c r="A6" s="22">
        <f t="shared" si="0"/>
        <v>4</v>
      </c>
      <c r="B6" s="23" t="s">
        <v>87</v>
      </c>
      <c r="C6" s="23">
        <v>655007836</v>
      </c>
      <c r="D6" s="24" t="s">
        <v>34</v>
      </c>
      <c r="E6" s="25" t="s">
        <v>35</v>
      </c>
      <c r="F6" s="26">
        <f>IF(E6="Oui",Paramètres!$C$4,0)</f>
        <v>1000</v>
      </c>
      <c r="G6" s="26">
        <f>IF(B6="","",SUMIF(Paiements!$B$3:$B$506,B6,Paiements!$C$3:$C$506))</f>
        <v>106000</v>
      </c>
      <c r="H6" s="27" t="str">
        <f>IF(B6="","",IF(G6&gt;=Paramètres!$C$5,"À déclarer","—"))</f>
        <v>À déclarer</v>
      </c>
      <c r="I6" s="24">
        <v>46231</v>
      </c>
    </row>
    <row r="7" spans="1:13" x14ac:dyDescent="0.25">
      <c r="A7" s="22">
        <f t="shared" si="0"/>
        <v>5</v>
      </c>
      <c r="B7" s="23" t="s">
        <v>38</v>
      </c>
      <c r="C7" s="23">
        <v>655005983</v>
      </c>
      <c r="D7" s="24" t="s">
        <v>34</v>
      </c>
      <c r="E7" s="25" t="s">
        <v>35</v>
      </c>
      <c r="F7" s="26">
        <f>IF(E7="Oui",Paramètres!$C$4,0)</f>
        <v>1000</v>
      </c>
      <c r="G7" s="26">
        <f>IF(B7="","",SUMIF(Paiements!$B$3:$B$506,B7,Paiements!$C$3:$C$506))</f>
        <v>17700</v>
      </c>
      <c r="H7" s="27" t="str">
        <f>IF(B7="","",IF(G7&gt;=Paramètres!$C$5,"À déclarer","—"))</f>
        <v>À déclarer</v>
      </c>
      <c r="I7" s="24">
        <v>46231</v>
      </c>
    </row>
    <row r="8" spans="1:13" x14ac:dyDescent="0.25">
      <c r="A8" s="22">
        <f t="shared" si="0"/>
        <v>6</v>
      </c>
      <c r="B8" s="23" t="s">
        <v>89</v>
      </c>
      <c r="C8" s="23">
        <v>699433680</v>
      </c>
      <c r="D8" s="24" t="s">
        <v>34</v>
      </c>
      <c r="E8" s="25" t="s">
        <v>35</v>
      </c>
      <c r="F8" s="26">
        <f>IF(E8="Oui",Paramètres!$C$4,0)</f>
        <v>1000</v>
      </c>
      <c r="G8" s="26">
        <f>IF(B8="","",SUMIF(Paiements!$B$3:$B$506,B8,Paiements!$C$3:$C$506))</f>
        <v>24400</v>
      </c>
      <c r="H8" s="27" t="str">
        <f>IF(B8="","",IF(G8&gt;=Paramètres!$C$5,"À déclarer","—"))</f>
        <v>À déclarer</v>
      </c>
      <c r="I8" s="24">
        <v>46231</v>
      </c>
    </row>
    <row r="9" spans="1:13" x14ac:dyDescent="0.25">
      <c r="A9" s="22">
        <f t="shared" si="0"/>
        <v>7</v>
      </c>
      <c r="B9" s="23" t="s">
        <v>39</v>
      </c>
      <c r="C9" s="23">
        <v>681506550</v>
      </c>
      <c r="D9" s="24" t="s">
        <v>34</v>
      </c>
      <c r="E9" s="25" t="s">
        <v>35</v>
      </c>
      <c r="F9" s="26">
        <f>IF(E9="Oui",Paramètres!$C$4,0)</f>
        <v>1000</v>
      </c>
      <c r="G9" s="26">
        <f>IF(B9="","",SUMIF(Paiements!$B$3:$B$506,B9,Paiements!$C$3:$C$506))</f>
        <v>48000</v>
      </c>
      <c r="H9" s="27" t="str">
        <f>IF(B9="","",IF(G9&gt;=Paramètres!$C$5,"À déclarer","—"))</f>
        <v>À déclarer</v>
      </c>
      <c r="I9" s="24">
        <v>46231</v>
      </c>
    </row>
    <row r="10" spans="1:13" x14ac:dyDescent="0.25">
      <c r="A10" s="22">
        <f t="shared" si="0"/>
        <v>8</v>
      </c>
      <c r="B10" s="37" t="s">
        <v>40</v>
      </c>
      <c r="C10" s="37"/>
      <c r="D10" s="38" t="s">
        <v>34</v>
      </c>
      <c r="E10" s="39" t="s">
        <v>35</v>
      </c>
      <c r="F10" s="40">
        <f>IF(E10="Oui",Paramètres!$C$4,0)</f>
        <v>1000</v>
      </c>
      <c r="G10" s="40">
        <f>IF(B10="","",SUMIF(Paiements!$B$3:$B$506,B10,Paiements!$C$3:$C$506))</f>
        <v>4900</v>
      </c>
      <c r="H10" s="27" t="str">
        <f>IF(B10="","",IF(G10&gt;=Paramètres!$C$5,"À déclarer","—"))</f>
        <v>—</v>
      </c>
      <c r="I10" s="24"/>
    </row>
    <row r="11" spans="1:13" x14ac:dyDescent="0.25">
      <c r="A11" s="22">
        <f t="shared" si="0"/>
        <v>9</v>
      </c>
      <c r="B11" s="23" t="s">
        <v>41</v>
      </c>
      <c r="C11" s="23">
        <v>698099956</v>
      </c>
      <c r="D11" s="24" t="s">
        <v>34</v>
      </c>
      <c r="E11" s="25" t="s">
        <v>35</v>
      </c>
      <c r="F11" s="26">
        <f>IF(E11="Oui",Paramètres!$C$4,0)</f>
        <v>1000</v>
      </c>
      <c r="G11" s="26">
        <f>IF(B11="","",SUMIF(Paiements!$B$3:$B$506,B11,Paiements!$C$3:$C$506))</f>
        <v>6000</v>
      </c>
      <c r="H11" s="27" t="str">
        <f>IF(B11="","",IF(G11&gt;=Paramètres!$C$5,"À déclarer","—"))</f>
        <v>—</v>
      </c>
      <c r="I11" s="24"/>
    </row>
    <row r="12" spans="1:13" x14ac:dyDescent="0.25">
      <c r="A12" s="22">
        <f t="shared" si="0"/>
        <v>10</v>
      </c>
      <c r="B12" s="23" t="s">
        <v>42</v>
      </c>
      <c r="C12" s="23">
        <v>651486286</v>
      </c>
      <c r="D12" s="24" t="s">
        <v>34</v>
      </c>
      <c r="E12" s="25" t="s">
        <v>35</v>
      </c>
      <c r="F12" s="26">
        <f>IF(E12="Oui",Paramètres!$C$4,0)</f>
        <v>1000</v>
      </c>
      <c r="G12" s="26">
        <f>IF(B12="","",SUMIF(Paiements!$B$3:$B$506,B12,Paiements!$C$3:$C$506))</f>
        <v>18000</v>
      </c>
      <c r="H12" s="27" t="str">
        <f>IF(B12="","",IF(G12&gt;=Paramètres!$C$5,"À déclarer","—"))</f>
        <v>À déclarer</v>
      </c>
      <c r="I12" s="24"/>
    </row>
    <row r="13" spans="1:13" x14ac:dyDescent="0.25">
      <c r="A13" s="22">
        <f t="shared" si="0"/>
        <v>11</v>
      </c>
      <c r="B13" s="23" t="s">
        <v>43</v>
      </c>
      <c r="C13" s="23">
        <v>675513127</v>
      </c>
      <c r="D13" s="24" t="s">
        <v>34</v>
      </c>
      <c r="E13" s="25" t="s">
        <v>35</v>
      </c>
      <c r="F13" s="26">
        <f>IF(E13="Oui",Paramètres!$C$4,0)</f>
        <v>1000</v>
      </c>
      <c r="G13" s="26">
        <f>IF(B13="","",SUMIF(Paiements!$B$3:$B$506,B13,Paiements!$C$3:$C$506))</f>
        <v>7700</v>
      </c>
      <c r="H13" s="27" t="str">
        <f>IF(B13="","",IF(G13&gt;=Paramètres!$C$5,"À déclarer","—"))</f>
        <v>—</v>
      </c>
      <c r="I13" s="24"/>
    </row>
    <row r="14" spans="1:13" x14ac:dyDescent="0.25">
      <c r="A14" s="36">
        <f t="shared" si="0"/>
        <v>12</v>
      </c>
      <c r="B14" s="37" t="s">
        <v>205</v>
      </c>
      <c r="C14" s="37"/>
      <c r="D14" s="38" t="s">
        <v>34</v>
      </c>
      <c r="E14" s="39" t="s">
        <v>35</v>
      </c>
      <c r="F14" s="40">
        <f>IF(E14="Oui",Paramètres!$C$4,0)</f>
        <v>1000</v>
      </c>
      <c r="G14" s="40">
        <f>IF(B14="","",SUMIF(Paiements!$B$3:$B$506,B14,Paiements!$C$3:$C$506))</f>
        <v>0</v>
      </c>
      <c r="H14" s="41" t="str">
        <f>IF(B14="","",IF(G14&gt;=Paramètres!$C$5,"À déclarer","—"))</f>
        <v>—</v>
      </c>
      <c r="I14" s="24"/>
    </row>
    <row r="15" spans="1:13" x14ac:dyDescent="0.25">
      <c r="A15" s="22">
        <f t="shared" si="0"/>
        <v>13</v>
      </c>
      <c r="B15" s="23" t="s">
        <v>45</v>
      </c>
      <c r="C15" s="23">
        <v>673170372</v>
      </c>
      <c r="D15" s="24" t="s">
        <v>34</v>
      </c>
      <c r="E15" s="25" t="s">
        <v>35</v>
      </c>
      <c r="F15" s="26">
        <f>IF(E15="Oui",Paramètres!$C$4,0)</f>
        <v>1000</v>
      </c>
      <c r="G15" s="26">
        <f>IF(B15="","",SUMIF(Paiements!$B$3:$B$506,B15,Paiements!$C$3:$C$506))</f>
        <v>63000</v>
      </c>
      <c r="H15" s="27" t="str">
        <f>IF(B15="","",IF(G15&gt;=Paramètres!$C$5,"À déclarer","—"))</f>
        <v>À déclarer</v>
      </c>
      <c r="I15" s="24">
        <v>46231</v>
      </c>
    </row>
    <row r="16" spans="1:13" x14ac:dyDescent="0.25">
      <c r="A16" s="36">
        <f>IF(B16="","",ROW()-2)</f>
        <v>14</v>
      </c>
      <c r="B16" s="37" t="s">
        <v>46</v>
      </c>
      <c r="C16" s="37"/>
      <c r="D16" s="38" t="s">
        <v>34</v>
      </c>
      <c r="E16" s="39" t="s">
        <v>35</v>
      </c>
      <c r="F16" s="40">
        <f>IF(E16="Oui",Paramètres!$C$4,0)</f>
        <v>1000</v>
      </c>
      <c r="G16" s="26">
        <f>IF(B16="","",SUMIF(Paiements!$B$3:$B$506,B16,Paiements!$C$3:$C$506))</f>
        <v>700</v>
      </c>
      <c r="H16" s="27" t="str">
        <f>IF(B16="","",IF(G16&gt;=Paramètres!$C$5,"À déclarer","—"))</f>
        <v>—</v>
      </c>
      <c r="I16" s="24"/>
    </row>
    <row r="17" spans="1:9" x14ac:dyDescent="0.25">
      <c r="A17" s="36">
        <f t="shared" si="0"/>
        <v>15</v>
      </c>
      <c r="B17" s="37" t="s">
        <v>47</v>
      </c>
      <c r="C17" s="37"/>
      <c r="D17" s="38" t="s">
        <v>34</v>
      </c>
      <c r="E17" s="39" t="s">
        <v>35</v>
      </c>
      <c r="F17" s="40">
        <f>IF(E17="Oui",Paramètres!$C$4,0)</f>
        <v>1000</v>
      </c>
      <c r="G17" s="26">
        <f>IF(B17="","",SUMIF(Paiements!$B$3:$B$506,B17,Paiements!$C$3:$C$506))</f>
        <v>7700</v>
      </c>
      <c r="H17" s="41" t="str">
        <f>IF(B17="","",IF(G17&gt;=Paramètres!$C$5,"À déclarer","—"))</f>
        <v>—</v>
      </c>
      <c r="I17" s="24"/>
    </row>
    <row r="18" spans="1:9" x14ac:dyDescent="0.25">
      <c r="A18" s="22">
        <f t="shared" si="0"/>
        <v>16</v>
      </c>
      <c r="B18" s="23" t="s">
        <v>90</v>
      </c>
      <c r="C18" s="23"/>
      <c r="D18" s="24" t="s">
        <v>34</v>
      </c>
      <c r="E18" s="25" t="s">
        <v>35</v>
      </c>
      <c r="F18" s="26">
        <f>IF(E18="Oui",Paramètres!$C$4,0)</f>
        <v>1000</v>
      </c>
      <c r="G18" s="26">
        <f>IF(B18="","",SUMIF(Paiements!$B$3:$B$506,B18,Paiements!$C$3:$C$506))</f>
        <v>60000</v>
      </c>
      <c r="H18" s="27" t="str">
        <f>IF(B18="","",IF(G18&gt;=Paramètres!$C$5,"À déclarer","—"))</f>
        <v>À déclarer</v>
      </c>
      <c r="I18" s="24">
        <v>46233</v>
      </c>
    </row>
    <row r="19" spans="1:9" x14ac:dyDescent="0.25">
      <c r="A19" s="22">
        <f t="shared" si="0"/>
        <v>17</v>
      </c>
      <c r="B19" s="23" t="s">
        <v>48</v>
      </c>
      <c r="C19" s="23"/>
      <c r="D19" s="24" t="s">
        <v>34</v>
      </c>
      <c r="E19" s="25" t="s">
        <v>35</v>
      </c>
      <c r="F19" s="26">
        <f>IF(E19="Oui",Paramètres!$C$4,0)</f>
        <v>1000</v>
      </c>
      <c r="G19" s="26">
        <f>IF(B19="","",SUMIF(Paiements!$B$3:$B$506,B19,Paiements!$C$3:$C$506))</f>
        <v>63000</v>
      </c>
      <c r="H19" s="27" t="str">
        <f>IF(B19="","",IF(G19&gt;=Paramètres!$C$5,"À déclarer","—"))</f>
        <v>À déclarer</v>
      </c>
      <c r="I19" s="24">
        <v>46237</v>
      </c>
    </row>
    <row r="20" spans="1:9" x14ac:dyDescent="0.25">
      <c r="A20" s="22">
        <f t="shared" si="0"/>
        <v>18</v>
      </c>
      <c r="B20" s="23" t="s">
        <v>49</v>
      </c>
      <c r="C20" s="23">
        <v>697359841</v>
      </c>
      <c r="D20" s="24" t="s">
        <v>34</v>
      </c>
      <c r="E20" s="25" t="s">
        <v>35</v>
      </c>
      <c r="F20" s="26">
        <f>IF(E20="Oui",Paramètres!$C$4,0)</f>
        <v>1000</v>
      </c>
      <c r="G20" s="26">
        <f>IF(B20="","",SUMIF(Paiements!$B$3:$B$506,B20,Paiements!$C$3:$C$506))</f>
        <v>14900</v>
      </c>
      <c r="H20" s="27" t="str">
        <f>IF(B20="","",IF(G20&gt;=Paramètres!$C$5,"À déclarer","—"))</f>
        <v>—</v>
      </c>
      <c r="I20" s="24"/>
    </row>
    <row r="21" spans="1:9" x14ac:dyDescent="0.25">
      <c r="A21" s="22">
        <f t="shared" si="0"/>
        <v>19</v>
      </c>
      <c r="B21" s="23" t="s">
        <v>50</v>
      </c>
      <c r="C21" s="23">
        <v>697015774</v>
      </c>
      <c r="D21" s="24" t="s">
        <v>34</v>
      </c>
      <c r="E21" s="25" t="s">
        <v>35</v>
      </c>
      <c r="F21" s="26">
        <f>IF(E21="Oui",Paramètres!$C$4,0)</f>
        <v>1000</v>
      </c>
      <c r="G21" s="26">
        <f>IF(B21="","",SUMIF(Paiements!$B$3:$B$506,B21,Paiements!$C$3:$C$506))</f>
        <v>24000</v>
      </c>
      <c r="H21" s="27" t="str">
        <f>IF(B21="","",IF(G21&gt;=Paramètres!$C$5,"À déclarer","—"))</f>
        <v>À déclarer</v>
      </c>
      <c r="I21" s="24"/>
    </row>
    <row r="22" spans="1:9" x14ac:dyDescent="0.25">
      <c r="A22" s="22">
        <f t="shared" si="0"/>
        <v>20</v>
      </c>
      <c r="B22" s="23" t="s">
        <v>51</v>
      </c>
      <c r="C22" s="23">
        <v>686550099</v>
      </c>
      <c r="D22" s="24" t="s">
        <v>34</v>
      </c>
      <c r="E22" s="25" t="s">
        <v>35</v>
      </c>
      <c r="F22" s="26">
        <f>IF(E22="Oui",Paramètres!$C$4,0)</f>
        <v>1000</v>
      </c>
      <c r="G22" s="26">
        <f>IF(B22="","",SUMIF(Paiements!$B$3:$B$506,B22,Paiements!$C$3:$C$506))</f>
        <v>5000</v>
      </c>
      <c r="H22" s="27" t="str">
        <f>IF(B22="","",IF(G22&gt;=Paramètres!$C$5,"À déclarer","—"))</f>
        <v>—</v>
      </c>
      <c r="I22" s="24"/>
    </row>
    <row r="23" spans="1:9" x14ac:dyDescent="0.25">
      <c r="A23" s="22">
        <f t="shared" si="0"/>
        <v>21</v>
      </c>
      <c r="B23" s="23" t="s">
        <v>52</v>
      </c>
      <c r="C23" s="63">
        <v>655710741</v>
      </c>
      <c r="D23" s="24" t="s">
        <v>34</v>
      </c>
      <c r="E23" s="25" t="s">
        <v>35</v>
      </c>
      <c r="F23" s="26">
        <f>IF(E23="Oui",Paramètres!$C$4,0)</f>
        <v>1000</v>
      </c>
      <c r="G23" s="26">
        <f>IF(B23="","",SUMIF(Paiements!$B$3:$B$506,B23,Paiements!$C$3:$C$506))</f>
        <v>69000</v>
      </c>
      <c r="H23" s="27" t="str">
        <f>IF(B23="","",IF(G23&gt;=Paramètres!$C$5,"À déclarer","—"))</f>
        <v>À déclarer</v>
      </c>
      <c r="I23" s="24">
        <v>46231</v>
      </c>
    </row>
    <row r="24" spans="1:9" x14ac:dyDescent="0.25">
      <c r="A24" s="22">
        <f t="shared" si="0"/>
        <v>22</v>
      </c>
      <c r="B24" s="23" t="s">
        <v>53</v>
      </c>
      <c r="C24" s="63">
        <v>697074556</v>
      </c>
      <c r="D24" s="24" t="s">
        <v>34</v>
      </c>
      <c r="E24" s="25" t="s">
        <v>35</v>
      </c>
      <c r="F24" s="26">
        <f>IF(E24="Oui",Paramètres!$C$4,0)</f>
        <v>1000</v>
      </c>
      <c r="G24" s="26">
        <f>IF(B24="","",SUMIF(Paiements!$B$3:$B$506,B24,Paiements!$C$3:$C$506))</f>
        <v>13000</v>
      </c>
      <c r="H24" s="27" t="str">
        <f>IF(B24="","",IF(G24&gt;=Paramètres!$C$5,"À déclarer","—"))</f>
        <v>—</v>
      </c>
      <c r="I24" s="24"/>
    </row>
    <row r="25" spans="1:9" x14ac:dyDescent="0.25">
      <c r="A25" s="36">
        <f t="shared" si="0"/>
        <v>23</v>
      </c>
      <c r="B25" s="37" t="s">
        <v>54</v>
      </c>
      <c r="C25" s="37"/>
      <c r="D25" s="38" t="s">
        <v>34</v>
      </c>
      <c r="E25" s="39" t="s">
        <v>35</v>
      </c>
      <c r="F25" s="40">
        <f>IF(E25="Oui",Paramètres!$C$4,0)</f>
        <v>1000</v>
      </c>
      <c r="G25" s="40">
        <f>IF(B25="","",SUMIF(Paiements!$B$3:$B$506,B25,Paiements!$C$3:$C$506))</f>
        <v>1000</v>
      </c>
      <c r="H25" s="27" t="str">
        <f>IF(B25="","",IF(G25&gt;=Paramètres!$C$5,"À déclarer","—"))</f>
        <v>—</v>
      </c>
      <c r="I25" s="24"/>
    </row>
    <row r="26" spans="1:9" x14ac:dyDescent="0.25">
      <c r="A26" s="22">
        <f t="shared" si="0"/>
        <v>24</v>
      </c>
      <c r="B26" s="23" t="s">
        <v>91</v>
      </c>
      <c r="C26" s="23"/>
      <c r="D26" s="24" t="s">
        <v>34</v>
      </c>
      <c r="E26" s="25" t="s">
        <v>35</v>
      </c>
      <c r="F26" s="26">
        <f>IF(E26="Oui",Paramètres!$C$4,0)</f>
        <v>1000</v>
      </c>
      <c r="G26" s="26">
        <f>IF(B26="","",SUMIF(Paiements!$B$3:$B$506,B26,Paiements!$C$3:$C$506))</f>
        <v>1000</v>
      </c>
      <c r="H26" s="27" t="str">
        <f>IF(B26="","",IF(G26&gt;=Paramètres!$C$5,"À déclarer","—"))</f>
        <v>—</v>
      </c>
      <c r="I26" s="24"/>
    </row>
    <row r="27" spans="1:9" x14ac:dyDescent="0.25">
      <c r="A27" s="22">
        <f t="shared" si="0"/>
        <v>25</v>
      </c>
      <c r="B27" s="23" t="s">
        <v>55</v>
      </c>
      <c r="C27" s="23"/>
      <c r="D27" s="24" t="s">
        <v>34</v>
      </c>
      <c r="E27" s="25" t="s">
        <v>35</v>
      </c>
      <c r="F27" s="26">
        <f>IF(E27="Oui",Paramètres!$C$4,0)</f>
        <v>1000</v>
      </c>
      <c r="G27" s="26">
        <f>IF(B27="","",SUMIF(Paiements!$B$3:$B$506,B27,Paiements!$C$3:$C$506))</f>
        <v>51000</v>
      </c>
      <c r="H27" s="27" t="str">
        <f>IF(B27="","",IF(G27&gt;=Paramètres!$C$5,"À déclarer","—"))</f>
        <v>À déclarer</v>
      </c>
      <c r="I27" s="24">
        <v>46231</v>
      </c>
    </row>
    <row r="28" spans="1:9" x14ac:dyDescent="0.25">
      <c r="A28" s="22">
        <f t="shared" si="0"/>
        <v>26</v>
      </c>
      <c r="B28" s="23" t="s">
        <v>56</v>
      </c>
      <c r="C28" s="23">
        <v>694381643</v>
      </c>
      <c r="D28" s="24" t="s">
        <v>34</v>
      </c>
      <c r="E28" s="25" t="s">
        <v>35</v>
      </c>
      <c r="F28" s="26">
        <f>IF(E28="Oui",Paramètres!$C$4,0)</f>
        <v>1000</v>
      </c>
      <c r="G28" s="26">
        <f>IF(B28="","",SUMIF(Paiements!$B$3:$B$506,B28,Paiements!$C$3:$C$506))</f>
        <v>1000</v>
      </c>
      <c r="H28" s="27" t="str">
        <f>IF(B28="","",IF(G28&gt;=Paramètres!$C$5,"À déclarer","—"))</f>
        <v>—</v>
      </c>
      <c r="I28" s="24"/>
    </row>
    <row r="29" spans="1:9" x14ac:dyDescent="0.25">
      <c r="A29" s="22">
        <f t="shared" si="0"/>
        <v>27</v>
      </c>
      <c r="B29" s="23" t="s">
        <v>57</v>
      </c>
      <c r="C29" s="23"/>
      <c r="D29" s="24" t="s">
        <v>34</v>
      </c>
      <c r="E29" s="25" t="s">
        <v>35</v>
      </c>
      <c r="F29" s="26">
        <f>IF(E29="Oui",Paramètres!$C$4,0)</f>
        <v>1000</v>
      </c>
      <c r="G29" s="26">
        <f>IF(B29="","",SUMIF(Paiements!$B$3:$B$506,B29,Paiements!$C$3:$C$506))</f>
        <v>4500</v>
      </c>
      <c r="H29" s="27" t="str">
        <f>IF(B29="","",IF(G29&gt;=Paramètres!$C$5,"À déclarer","—"))</f>
        <v>—</v>
      </c>
      <c r="I29" s="24"/>
    </row>
    <row r="30" spans="1:9" x14ac:dyDescent="0.25">
      <c r="A30" s="36">
        <f t="shared" si="0"/>
        <v>28</v>
      </c>
      <c r="B30" s="37" t="s">
        <v>195</v>
      </c>
      <c r="C30" s="37"/>
      <c r="D30" s="38" t="s">
        <v>34</v>
      </c>
      <c r="E30" s="39" t="s">
        <v>35</v>
      </c>
      <c r="F30" s="40">
        <f>IF(E30="Oui",Paramètres!$C$4,0)</f>
        <v>1000</v>
      </c>
      <c r="G30" s="40">
        <f>IF(B30="","",SUMIF(Paiements!$B$3:$B$506,B30,Paiements!$C$3:$C$506))</f>
        <v>1000</v>
      </c>
      <c r="H30" s="27" t="str">
        <f>IF(B30="","",IF(G30&gt;=Paramètres!$C$5,"À déclarer","—"))</f>
        <v>—</v>
      </c>
      <c r="I30" s="24"/>
    </row>
    <row r="31" spans="1:9" x14ac:dyDescent="0.25">
      <c r="A31" s="22">
        <f t="shared" si="0"/>
        <v>29</v>
      </c>
      <c r="B31" s="23" t="s">
        <v>228</v>
      </c>
      <c r="C31" s="23">
        <v>679731587</v>
      </c>
      <c r="D31" s="24" t="s">
        <v>34</v>
      </c>
      <c r="E31" s="25" t="s">
        <v>35</v>
      </c>
      <c r="F31" s="26">
        <f>IF(E31="Oui",Paramètres!$C$4,0)</f>
        <v>1000</v>
      </c>
      <c r="G31" s="26">
        <f>IF(B31="","",SUMIF(Paiements!$B$3:$B$506,B31,Paiements!$C$3:$C$506))</f>
        <v>18000</v>
      </c>
      <c r="H31" s="27" t="str">
        <f>IF(B31="","",IF(G31&gt;=Paramètres!$C$5,"À déclarer","—"))</f>
        <v>À déclarer</v>
      </c>
      <c r="I31" s="24"/>
    </row>
    <row r="32" spans="1:9" x14ac:dyDescent="0.25">
      <c r="A32" s="22">
        <f t="shared" si="0"/>
        <v>30</v>
      </c>
      <c r="B32" s="23" t="s">
        <v>58</v>
      </c>
      <c r="C32" s="23"/>
      <c r="D32" s="24" t="s">
        <v>34</v>
      </c>
      <c r="E32" s="25" t="s">
        <v>35</v>
      </c>
      <c r="F32" s="26">
        <f>IF(E32="Oui",Paramètres!$C$4,0)</f>
        <v>1000</v>
      </c>
      <c r="G32" s="26">
        <f>IF(B32="","",SUMIF(Paiements!$B$3:$B$506,B32,Paiements!$C$3:$C$506))</f>
        <v>66300</v>
      </c>
      <c r="H32" s="27" t="str">
        <f>IF(B32="","",IF(G32&gt;=Paramètres!$C$5,"À déclarer","—"))</f>
        <v>À déclarer</v>
      </c>
      <c r="I32" s="24">
        <v>46233</v>
      </c>
    </row>
    <row r="33" spans="1:9" x14ac:dyDescent="0.25">
      <c r="A33" s="22">
        <f t="shared" si="0"/>
        <v>31</v>
      </c>
      <c r="B33" s="23" t="s">
        <v>59</v>
      </c>
      <c r="C33" s="23"/>
      <c r="D33" s="24" t="s">
        <v>34</v>
      </c>
      <c r="E33" s="25" t="s">
        <v>35</v>
      </c>
      <c r="F33" s="26">
        <f>IF(E33="Oui",Paramètres!$C$4,0)</f>
        <v>1000</v>
      </c>
      <c r="G33" s="26">
        <f>IF(B33="","",SUMIF(Paiements!$B$3:$B$506,B33,Paiements!$C$3:$C$506))</f>
        <v>16500</v>
      </c>
      <c r="H33" s="27" t="str">
        <f>IF(B33="","",IF(G33&gt;=Paramètres!$C$5,"À déclarer","—"))</f>
        <v>À déclarer</v>
      </c>
      <c r="I33" s="24">
        <v>46219</v>
      </c>
    </row>
    <row r="34" spans="1:9" x14ac:dyDescent="0.25">
      <c r="A34" s="22">
        <f t="shared" si="0"/>
        <v>32</v>
      </c>
      <c r="B34" s="23" t="s">
        <v>60</v>
      </c>
      <c r="C34" s="23">
        <v>698768267</v>
      </c>
      <c r="D34" s="24" t="s">
        <v>34</v>
      </c>
      <c r="E34" s="25" t="s">
        <v>35</v>
      </c>
      <c r="F34" s="26">
        <f>IF(E34="Oui",Paramètres!$C$4,0)</f>
        <v>1000</v>
      </c>
      <c r="G34" s="26">
        <f>IF(B34="","",SUMIF(Paiements!$B$3:$B$506,B34,Paiements!$C$3:$C$506))</f>
        <v>42000</v>
      </c>
      <c r="H34" s="27" t="str">
        <f>IF(B34="","",IF(G34&gt;=Paramètres!$C$5,"À déclarer","—"))</f>
        <v>À déclarer</v>
      </c>
      <c r="I34" s="24">
        <v>46230</v>
      </c>
    </row>
    <row r="35" spans="1:9" x14ac:dyDescent="0.25">
      <c r="A35" s="22">
        <f t="shared" ref="A35:A66" si="1">IF(B35="","",ROW()-2)</f>
        <v>33</v>
      </c>
      <c r="B35" s="23" t="s">
        <v>61</v>
      </c>
      <c r="C35" s="23">
        <v>671679343</v>
      </c>
      <c r="D35" s="24" t="s">
        <v>34</v>
      </c>
      <c r="E35" s="25" t="s">
        <v>35</v>
      </c>
      <c r="F35" s="26">
        <f>IF(E35="Oui",Paramètres!$C$4,0)</f>
        <v>1000</v>
      </c>
      <c r="G35" s="26">
        <f>IF(B35="","",SUMIF(Paiements!$B$3:$B$506,B35,Paiements!$C$3:$C$506))</f>
        <v>42000</v>
      </c>
      <c r="H35" s="27" t="str">
        <f>IF(B35="","",IF(G35&gt;=Paramètres!$C$5,"À déclarer","—"))</f>
        <v>À déclarer</v>
      </c>
      <c r="I35" s="24">
        <v>46226</v>
      </c>
    </row>
    <row r="36" spans="1:9" x14ac:dyDescent="0.25">
      <c r="A36" s="36">
        <v>34</v>
      </c>
      <c r="B36" s="37" t="s">
        <v>62</v>
      </c>
      <c r="C36" s="37"/>
      <c r="D36" s="38" t="s">
        <v>34</v>
      </c>
      <c r="E36" s="39" t="s">
        <v>35</v>
      </c>
      <c r="F36" s="40">
        <f>IF(E36="Oui",Paramètres!$C$4,0)</f>
        <v>1000</v>
      </c>
      <c r="G36" s="40">
        <f>IF(B36="","",SUMIF(Paiements!$B$3:$B$506,B36,Paiements!$C$3:$C$506))</f>
        <v>1400</v>
      </c>
      <c r="H36" s="41" t="str">
        <f>IF(B36="","",IF(G36&gt;=Paramètres!$C$5,"À déclarer","—"))</f>
        <v>—</v>
      </c>
      <c r="I36" s="24"/>
    </row>
    <row r="37" spans="1:9" x14ac:dyDescent="0.25">
      <c r="A37" s="22">
        <f t="shared" si="1"/>
        <v>35</v>
      </c>
      <c r="B37" s="23" t="s">
        <v>63</v>
      </c>
      <c r="C37" s="23">
        <v>699872831</v>
      </c>
      <c r="D37" s="24" t="s">
        <v>34</v>
      </c>
      <c r="E37" s="25" t="s">
        <v>35</v>
      </c>
      <c r="F37" s="26">
        <f>IF(E37="Oui",Paramètres!$C$4,0)</f>
        <v>1000</v>
      </c>
      <c r="G37" s="26">
        <f>IF(B37="","",SUMIF(Paiements!$B$3:$B$506,B37,Paiements!$C$3:$C$506))</f>
        <v>40900</v>
      </c>
      <c r="H37" s="27" t="str">
        <f>IF(B37="","",IF(G37&gt;=Paramètres!$C$5,"À déclarer","—"))</f>
        <v>À déclarer</v>
      </c>
      <c r="I37" s="24">
        <v>46231</v>
      </c>
    </row>
    <row r="38" spans="1:9" x14ac:dyDescent="0.25">
      <c r="A38" s="22">
        <f t="shared" si="1"/>
        <v>36</v>
      </c>
      <c r="B38" s="23" t="s">
        <v>64</v>
      </c>
      <c r="C38" s="23"/>
      <c r="D38" s="24" t="s">
        <v>34</v>
      </c>
      <c r="E38" s="25" t="s">
        <v>35</v>
      </c>
      <c r="F38" s="26">
        <f>IF(E38="Oui",Paramètres!$C$4,0)</f>
        <v>1000</v>
      </c>
      <c r="G38" s="26">
        <f>IF(B38="","",SUMIF(Paiements!$B$3:$B$506,B38,Paiements!$C$3:$C$506))</f>
        <v>23400</v>
      </c>
      <c r="H38" s="27" t="str">
        <f>IF(B38="","",IF(G38&gt;=Paramètres!$C$5,"À déclarer","—"))</f>
        <v>À déclarer</v>
      </c>
      <c r="I38" s="24">
        <v>46231</v>
      </c>
    </row>
    <row r="39" spans="1:9" x14ac:dyDescent="0.25">
      <c r="A39" s="22">
        <f t="shared" si="1"/>
        <v>37</v>
      </c>
      <c r="B39" s="23" t="s">
        <v>65</v>
      </c>
      <c r="C39" s="23"/>
      <c r="D39" s="24" t="s">
        <v>34</v>
      </c>
      <c r="E39" s="25" t="s">
        <v>35</v>
      </c>
      <c r="F39" s="26">
        <f>IF(E39="Oui",Paramètres!$C$4,0)</f>
        <v>1000</v>
      </c>
      <c r="G39" s="26">
        <f>IF(B39="","",SUMIF(Paiements!$B$3:$B$506,B39,Paiements!$C$3:$C$506))</f>
        <v>32500</v>
      </c>
      <c r="H39" s="27" t="str">
        <f>IF(B39="","",IF(G39&gt;=Paramètres!$C$5,"À déclarer","—"))</f>
        <v>À déclarer</v>
      </c>
      <c r="I39" s="24">
        <v>46231</v>
      </c>
    </row>
    <row r="40" spans="1:9" x14ac:dyDescent="0.25">
      <c r="A40" s="22">
        <v>38</v>
      </c>
      <c r="B40" s="23" t="s">
        <v>203</v>
      </c>
      <c r="C40" s="23"/>
      <c r="D40" s="24" t="s">
        <v>34</v>
      </c>
      <c r="E40" s="25" t="s">
        <v>35</v>
      </c>
      <c r="F40" s="26">
        <f>IF(E40="Oui",Paramètres!$C$4,0)</f>
        <v>1000</v>
      </c>
      <c r="G40" s="26">
        <f>IF(B40="","",SUMIF(Paiements!$B$3:$B$506,B40,Paiements!$C$3:$C$506))</f>
        <v>1000</v>
      </c>
      <c r="H40" s="27" t="str">
        <f>IF(B40="","",IF(G40&gt;=Paramètres!$C$5,"À déclarer","—"))</f>
        <v>—</v>
      </c>
      <c r="I40" s="24"/>
    </row>
    <row r="41" spans="1:9" x14ac:dyDescent="0.25">
      <c r="A41" s="22">
        <f t="shared" si="1"/>
        <v>39</v>
      </c>
      <c r="B41" s="23" t="s">
        <v>66</v>
      </c>
      <c r="C41" s="23">
        <v>653623642</v>
      </c>
      <c r="D41" s="24" t="s">
        <v>34</v>
      </c>
      <c r="E41" s="25" t="s">
        <v>35</v>
      </c>
      <c r="F41" s="26">
        <f>IF(E41="Oui",Paramètres!$C$4,0)</f>
        <v>1000</v>
      </c>
      <c r="G41" s="26">
        <f>IF(B41="","",SUMIF(Paiements!$B$3:$B$506,B41,Paiements!$C$3:$C$506))</f>
        <v>41000</v>
      </c>
      <c r="H41" s="27" t="str">
        <f>IF(B41="","",IF(G41&gt;=Paramètres!$C$5,"À déclarer","—"))</f>
        <v>À déclarer</v>
      </c>
      <c r="I41" s="24">
        <v>46231</v>
      </c>
    </row>
    <row r="42" spans="1:9" s="42" customFormat="1" x14ac:dyDescent="0.25">
      <c r="A42" s="36">
        <f t="shared" si="1"/>
        <v>40</v>
      </c>
      <c r="B42" s="37" t="s">
        <v>88</v>
      </c>
      <c r="C42" s="37"/>
      <c r="D42" s="38">
        <v>46181</v>
      </c>
      <c r="E42" s="39" t="s">
        <v>35</v>
      </c>
      <c r="F42" s="40">
        <f>IF(E42="Oui",Paramètres!$C$4,0)</f>
        <v>1000</v>
      </c>
      <c r="G42" s="26">
        <f>IF(B42="","",SUMIF(Paiements!$B$3:$B$506,B42,Paiements!$C$3:$C$506))</f>
        <v>0</v>
      </c>
      <c r="H42" s="41" t="str">
        <f>IF(B42="","",IF(G42&gt;=Paramètres!$C$5,"À déclarer","—"))</f>
        <v>—</v>
      </c>
      <c r="I42" s="38"/>
    </row>
    <row r="43" spans="1:9" x14ac:dyDescent="0.25">
      <c r="A43" s="36">
        <v>41</v>
      </c>
      <c r="B43" s="37" t="s">
        <v>92</v>
      </c>
      <c r="C43" s="37"/>
      <c r="D43" s="38">
        <v>46181</v>
      </c>
      <c r="E43" s="39" t="s">
        <v>35</v>
      </c>
      <c r="F43" s="40">
        <f>IF(E43="Oui",Paramètres!$C$4,0)</f>
        <v>1000</v>
      </c>
      <c r="G43" s="26">
        <f>IF(B43="","",SUMIF(Paiements!$B$3:$B$506,B43,Paiements!$C$3:$C$506))</f>
        <v>0</v>
      </c>
      <c r="H43" s="27" t="str">
        <f>IF(B43="","",IF(G43&gt;=Paramètres!$C$5,"À déclarer","—"))</f>
        <v>—</v>
      </c>
      <c r="I43" s="24"/>
    </row>
    <row r="44" spans="1:9" x14ac:dyDescent="0.25">
      <c r="A44" s="36">
        <f t="shared" si="1"/>
        <v>42</v>
      </c>
      <c r="B44" s="37" t="s">
        <v>93</v>
      </c>
      <c r="C44" s="37"/>
      <c r="D44" s="38">
        <v>46181</v>
      </c>
      <c r="E44" s="39" t="s">
        <v>35</v>
      </c>
      <c r="F44" s="40">
        <f>IF(E44="Oui",Paramètres!$C$4,0)</f>
        <v>1000</v>
      </c>
      <c r="G44" s="26">
        <f>IF(B44="","",SUMIF(Paiements!$B$3:$B$506,B44,Paiements!$C$3:$C$506))</f>
        <v>0</v>
      </c>
      <c r="H44" s="27" t="str">
        <f>IF(B44="","",IF(G44&gt;=Paramètres!$C$5,"À déclarer","—"))</f>
        <v>—</v>
      </c>
      <c r="I44" s="24"/>
    </row>
    <row r="45" spans="1:9" x14ac:dyDescent="0.25">
      <c r="A45" s="36">
        <f t="shared" si="1"/>
        <v>43</v>
      </c>
      <c r="B45" s="37" t="s">
        <v>94</v>
      </c>
      <c r="C45" s="37"/>
      <c r="D45" s="38">
        <v>46181</v>
      </c>
      <c r="E45" s="39" t="s">
        <v>35</v>
      </c>
      <c r="F45" s="40">
        <f>IF(E45="Oui",Paramètres!$C$4,0)</f>
        <v>1000</v>
      </c>
      <c r="G45" s="40">
        <f>IF(B45="","",SUMIF(Paiements!$B$3:$B$506,B45,Paiements!$C$3:$C$506))</f>
        <v>0</v>
      </c>
      <c r="H45" s="27" t="str">
        <f>IF(B45="","",IF(G45&gt;=Paramètres!$C$5,"À déclarer","—"))</f>
        <v>—</v>
      </c>
      <c r="I45" s="24"/>
    </row>
    <row r="46" spans="1:9" x14ac:dyDescent="0.25">
      <c r="A46" s="22">
        <f t="shared" si="1"/>
        <v>44</v>
      </c>
      <c r="B46" s="23" t="s">
        <v>95</v>
      </c>
      <c r="C46" s="23"/>
      <c r="D46" s="24">
        <v>46182</v>
      </c>
      <c r="E46" s="25" t="s">
        <v>35</v>
      </c>
      <c r="F46" s="26">
        <f>IF(E46="Oui",Paramètres!$C$4,0)</f>
        <v>1000</v>
      </c>
      <c r="G46" s="26">
        <f>IF(B46="","",SUMIF(Paiements!$B$3:$B$506,B46,Paiements!$C$3:$C$506))</f>
        <v>0</v>
      </c>
      <c r="H46" s="27" t="str">
        <f>IF(B46="","",IF(G46&gt;=Paramètres!$C$5,"À déclarer","—"))</f>
        <v>—</v>
      </c>
      <c r="I46" s="24"/>
    </row>
    <row r="47" spans="1:9" x14ac:dyDescent="0.25">
      <c r="A47" s="22">
        <f t="shared" si="1"/>
        <v>45</v>
      </c>
      <c r="B47" s="23" t="s">
        <v>96</v>
      </c>
      <c r="C47" s="23"/>
      <c r="D47" s="24">
        <v>46182</v>
      </c>
      <c r="E47" s="25" t="s">
        <v>35</v>
      </c>
      <c r="F47" s="26">
        <f>IF(E47="Oui",Paramètres!$C$4,0)</f>
        <v>1000</v>
      </c>
      <c r="G47" s="26">
        <f>IF(B47="","",SUMIF(Paiements!$B$3:$B$506,B47,Paiements!$C$3:$C$506))</f>
        <v>0</v>
      </c>
      <c r="H47" s="27" t="str">
        <f>IF(B47="","",IF(G47&gt;=Paramètres!$C$5,"À déclarer","—"))</f>
        <v>—</v>
      </c>
      <c r="I47" s="24"/>
    </row>
    <row r="48" spans="1:9" s="42" customFormat="1" x14ac:dyDescent="0.25">
      <c r="A48" s="36">
        <f t="shared" si="1"/>
        <v>46</v>
      </c>
      <c r="B48" s="37" t="s">
        <v>97</v>
      </c>
      <c r="C48" s="37"/>
      <c r="D48" s="38">
        <v>46182</v>
      </c>
      <c r="E48" s="39" t="s">
        <v>35</v>
      </c>
      <c r="F48" s="40">
        <f>IF(E48="Oui",Paramètres!$C$4,0)</f>
        <v>1000</v>
      </c>
      <c r="G48" s="26">
        <f>IF(B48="","",SUMIF(Paiements!$B$3:$B$506,B48,Paiements!$C$3:$C$506))</f>
        <v>0</v>
      </c>
      <c r="H48" s="41" t="str">
        <f>IF(B48="","",IF(G48&gt;=Paramètres!$C$5,"À déclarer","—"))</f>
        <v>—</v>
      </c>
      <c r="I48" s="38"/>
    </row>
    <row r="49" spans="1:9" x14ac:dyDescent="0.25">
      <c r="A49" s="22">
        <f t="shared" si="1"/>
        <v>47</v>
      </c>
      <c r="B49" s="23" t="s">
        <v>98</v>
      </c>
      <c r="C49" s="23"/>
      <c r="D49" s="24">
        <v>46183</v>
      </c>
      <c r="E49" s="25" t="s">
        <v>35</v>
      </c>
      <c r="F49" s="26">
        <f>IF(E49="Oui",Paramètres!$C$4,0)</f>
        <v>1000</v>
      </c>
      <c r="G49" s="26">
        <f>IF(B49="","",SUMIF(Paiements!$B$3:$B$506,B49,Paiements!$C$3:$C$506))</f>
        <v>0</v>
      </c>
      <c r="H49" s="27" t="str">
        <f>IF(B49="","",IF(G49&gt;=Paramètres!$C$5,"À déclarer","—"))</f>
        <v>—</v>
      </c>
      <c r="I49" s="24"/>
    </row>
    <row r="50" spans="1:9" x14ac:dyDescent="0.25">
      <c r="A50" s="43">
        <f t="shared" si="1"/>
        <v>48</v>
      </c>
      <c r="B50" s="44" t="s">
        <v>99</v>
      </c>
      <c r="C50" s="44"/>
      <c r="D50" s="45">
        <v>46183</v>
      </c>
      <c r="E50" s="46" t="s">
        <v>35</v>
      </c>
      <c r="F50" s="47">
        <f>IF(E50="Oui",Paramètres!$C$4,0)</f>
        <v>1000</v>
      </c>
      <c r="G50" s="26">
        <f>IF(B50="","",SUMIF(Paiements!$B$3:$B$506,B50,Paiements!$C$3:$C$506))</f>
        <v>0</v>
      </c>
      <c r="H50" s="27" t="str">
        <f>IF(B50="","",IF(G50&gt;=Paramètres!$C$5,"À déclarer","—"))</f>
        <v>—</v>
      </c>
      <c r="I50" s="24"/>
    </row>
    <row r="51" spans="1:9" s="42" customFormat="1" x14ac:dyDescent="0.25">
      <c r="A51" s="36">
        <v>49</v>
      </c>
      <c r="B51" s="37" t="s">
        <v>100</v>
      </c>
      <c r="C51" s="37"/>
      <c r="D51" s="38">
        <v>46183</v>
      </c>
      <c r="E51" s="39" t="s">
        <v>35</v>
      </c>
      <c r="F51" s="40">
        <f>IF(E51="Oui",Paramètres!$C$4,0)</f>
        <v>1000</v>
      </c>
      <c r="G51" s="26">
        <f>IF(B51="","",SUMIF(Paiements!$B$3:$B$506,B51,Paiements!$C$3:$C$506))</f>
        <v>0</v>
      </c>
      <c r="H51" s="41" t="str">
        <f>IF(B51="","",IF(G51&gt;=Paramètres!$C$5,"À déclarer","—"))</f>
        <v>—</v>
      </c>
      <c r="I51" s="38"/>
    </row>
    <row r="52" spans="1:9" x14ac:dyDescent="0.25">
      <c r="A52" s="43">
        <f t="shared" si="1"/>
        <v>50</v>
      </c>
      <c r="B52" s="44" t="s">
        <v>101</v>
      </c>
      <c r="C52" s="44"/>
      <c r="D52" s="45">
        <v>46183</v>
      </c>
      <c r="E52" s="46" t="s">
        <v>35</v>
      </c>
      <c r="F52" s="47">
        <f>IF(E52="Oui",Paramètres!$C$4,0)</f>
        <v>1000</v>
      </c>
      <c r="G52" s="26">
        <f>IF(B52="","",SUMIF(Paiements!$B$3:$B$506,B52,Paiements!$C$3:$C$506))</f>
        <v>0</v>
      </c>
      <c r="H52" s="48" t="str">
        <f>IF(B52="","",IF(G52&gt;=Paramètres!$C$5,"À déclarer","—"))</f>
        <v>—</v>
      </c>
      <c r="I52" s="24"/>
    </row>
    <row r="53" spans="1:9" s="42" customFormat="1" x14ac:dyDescent="0.25">
      <c r="A53" s="36">
        <f t="shared" si="1"/>
        <v>51</v>
      </c>
      <c r="B53" s="37" t="s">
        <v>102</v>
      </c>
      <c r="C53" s="37"/>
      <c r="D53" s="38" t="s">
        <v>103</v>
      </c>
      <c r="E53" s="39" t="s">
        <v>35</v>
      </c>
      <c r="F53" s="40">
        <f>IF(E53="Oui",Paramètres!$C$4,0)</f>
        <v>1000</v>
      </c>
      <c r="G53" s="26">
        <f>IF(B53="","",SUMIF(Paiements!$B$3:$B$506,B53,Paiements!$C$3:$C$506))</f>
        <v>0</v>
      </c>
      <c r="H53" s="41" t="str">
        <f>IF(B53="","",IF(G53&gt;=Paramètres!$C$5,"À déclarer","—"))</f>
        <v>—</v>
      </c>
      <c r="I53" s="38"/>
    </row>
    <row r="54" spans="1:9" s="42" customFormat="1" x14ac:dyDescent="0.25">
      <c r="A54" s="36">
        <f t="shared" si="1"/>
        <v>52</v>
      </c>
      <c r="B54" s="37" t="s">
        <v>104</v>
      </c>
      <c r="C54" s="37"/>
      <c r="D54" s="38">
        <v>46183</v>
      </c>
      <c r="E54" s="39" t="s">
        <v>35</v>
      </c>
      <c r="F54" s="40">
        <f>IF(E54="Oui",Paramètres!$C$4,0)</f>
        <v>1000</v>
      </c>
      <c r="G54" s="26">
        <f>IF(B54="","",SUMIF(Paiements!$B$3:$B$506,B54,Paiements!$C$3:$C$506))</f>
        <v>0</v>
      </c>
      <c r="H54" s="41" t="str">
        <f>IF(B54="","",IF(G54&gt;=Paramètres!$C$5,"À déclarer","—"))</f>
        <v>—</v>
      </c>
      <c r="I54" s="38"/>
    </row>
    <row r="55" spans="1:9" x14ac:dyDescent="0.25">
      <c r="A55" s="36">
        <f t="shared" si="1"/>
        <v>53</v>
      </c>
      <c r="B55" s="37" t="s">
        <v>105</v>
      </c>
      <c r="C55" s="37"/>
      <c r="D55" s="38">
        <v>46183</v>
      </c>
      <c r="E55" s="39" t="s">
        <v>35</v>
      </c>
      <c r="F55" s="40">
        <f>IF(E55="Oui",Paramètres!$C$4,0)</f>
        <v>1000</v>
      </c>
      <c r="G55" s="40">
        <f>IF(B55="","",SUMIF(Paiements!$B$3:$B$506,B55,Paiements!$C$3:$C$506))</f>
        <v>0</v>
      </c>
      <c r="H55" s="27" t="str">
        <f>IF(B55="","",IF(G55&gt;=Paramètres!$C$5,"À déclarer","—"))</f>
        <v>—</v>
      </c>
      <c r="I55" s="24"/>
    </row>
    <row r="56" spans="1:9" x14ac:dyDescent="0.25">
      <c r="A56" s="36">
        <f t="shared" si="1"/>
        <v>54</v>
      </c>
      <c r="B56" s="37" t="s">
        <v>106</v>
      </c>
      <c r="C56" s="37"/>
      <c r="D56" s="38">
        <v>46184</v>
      </c>
      <c r="E56" s="39" t="s">
        <v>35</v>
      </c>
      <c r="F56" s="40">
        <f>IF(E56="Oui",Paramètres!$C$4,0)</f>
        <v>1000</v>
      </c>
      <c r="G56" s="40">
        <f>IF(B56="","",SUMIF(Paiements!$B$3:$B$506,B56,Paiements!$C$3:$C$506))</f>
        <v>0</v>
      </c>
      <c r="H56" s="27" t="str">
        <f>IF(B56="","",IF(G56&gt;=Paramètres!$C$5,"À déclarer","—"))</f>
        <v>—</v>
      </c>
      <c r="I56" s="24"/>
    </row>
    <row r="57" spans="1:9" s="42" customFormat="1" x14ac:dyDescent="0.25">
      <c r="A57" s="36">
        <f t="shared" si="1"/>
        <v>55</v>
      </c>
      <c r="B57" s="37" t="s">
        <v>107</v>
      </c>
      <c r="C57" s="37"/>
      <c r="D57" s="38">
        <v>46184</v>
      </c>
      <c r="E57" s="39" t="s">
        <v>35</v>
      </c>
      <c r="F57" s="40">
        <f>IF(E57="Oui",Paramètres!$C$4,0)</f>
        <v>1000</v>
      </c>
      <c r="G57" s="26">
        <f>IF(B57="","",SUMIF(Paiements!$B$3:$B$506,B57,Paiements!$C$3:$C$506))</f>
        <v>0</v>
      </c>
      <c r="H57" s="41" t="str">
        <f>IF(B57="","",IF(G57&gt;=Paramètres!$C$5,"À déclarer","—"))</f>
        <v>—</v>
      </c>
      <c r="I57" s="38"/>
    </row>
    <row r="58" spans="1:9" x14ac:dyDescent="0.25">
      <c r="A58" s="22">
        <f t="shared" si="1"/>
        <v>56</v>
      </c>
      <c r="B58" s="37" t="s">
        <v>108</v>
      </c>
      <c r="C58" s="37"/>
      <c r="D58" s="38">
        <v>46184</v>
      </c>
      <c r="E58" s="39" t="s">
        <v>35</v>
      </c>
      <c r="F58" s="40">
        <f>IF(E58="Oui",Paramètres!$C$4,0)</f>
        <v>1000</v>
      </c>
      <c r="G58" s="40">
        <f>IF(B58="","",SUMIF(Paiements!$B$3:$B$506,B58,Paiements!$C$3:$C$506))</f>
        <v>0</v>
      </c>
      <c r="H58" s="27" t="str">
        <f>IF(B58="","",IF(G58&gt;=Paramètres!$C$5,"À déclarer","—"))</f>
        <v>—</v>
      </c>
      <c r="I58" s="24"/>
    </row>
    <row r="59" spans="1:9" x14ac:dyDescent="0.25">
      <c r="A59" s="22">
        <f t="shared" si="1"/>
        <v>57</v>
      </c>
      <c r="B59" s="37" t="s">
        <v>109</v>
      </c>
      <c r="C59" s="37"/>
      <c r="D59" s="38">
        <v>46184</v>
      </c>
      <c r="E59" s="39" t="s">
        <v>35</v>
      </c>
      <c r="F59" s="40">
        <f>IF(E59="Oui",Paramètres!$C$4,0)</f>
        <v>1000</v>
      </c>
      <c r="G59" s="26">
        <f>IF(B59="","",SUMIF(Paiements!$B$3:$B$506,B59,Paiements!$C$3:$C$506))</f>
        <v>0</v>
      </c>
      <c r="H59" s="27" t="str">
        <f>IF(B59="","",IF(G59&gt;=Paramètres!$C$5,"À déclarer","—"))</f>
        <v>—</v>
      </c>
      <c r="I59" s="24"/>
    </row>
    <row r="60" spans="1:9" x14ac:dyDescent="0.25">
      <c r="A60" s="22">
        <f t="shared" si="1"/>
        <v>58</v>
      </c>
      <c r="B60" s="23" t="s">
        <v>110</v>
      </c>
      <c r="C60" s="23"/>
      <c r="D60" s="24">
        <v>46184</v>
      </c>
      <c r="E60" s="25" t="s">
        <v>35</v>
      </c>
      <c r="F60" s="26">
        <f>IF(E60="Oui",Paramètres!$C$4,0)</f>
        <v>1000</v>
      </c>
      <c r="G60" s="26">
        <f>IF(B60="","",SUMIF(Paiements!$B$3:$B$506,B60,Paiements!$C$3:$C$506))</f>
        <v>0</v>
      </c>
      <c r="H60" s="27" t="str">
        <f>IF(B60="","",IF(G60&gt;=Paramètres!$C$5,"À déclarer","—"))</f>
        <v>—</v>
      </c>
      <c r="I60" s="24"/>
    </row>
    <row r="61" spans="1:9" x14ac:dyDescent="0.25">
      <c r="A61" s="36">
        <v>59</v>
      </c>
      <c r="B61" s="37" t="s">
        <v>111</v>
      </c>
      <c r="C61" s="37"/>
      <c r="D61" s="38">
        <v>46184</v>
      </c>
      <c r="E61" s="39" t="s">
        <v>35</v>
      </c>
      <c r="F61" s="40">
        <f>IF(E61="Oui",Paramètres!$C$4,0)</f>
        <v>1000</v>
      </c>
      <c r="G61" s="40">
        <f>IF(B61="","",SUMIF(Paiements!$B$3:$B$506,B61,Paiements!$C$3:$C$506))</f>
        <v>0</v>
      </c>
      <c r="H61" s="41" t="str">
        <f>IF(B61="","",IF(G61&gt;=Paramètres!$C$5,"À déclarer","—"))</f>
        <v>—</v>
      </c>
      <c r="I61" s="24"/>
    </row>
    <row r="62" spans="1:9" x14ac:dyDescent="0.25">
      <c r="A62" s="22">
        <f t="shared" si="1"/>
        <v>60</v>
      </c>
      <c r="B62" s="37" t="s">
        <v>112</v>
      </c>
      <c r="C62" s="37"/>
      <c r="D62" s="38">
        <v>46185</v>
      </c>
      <c r="E62" s="39" t="s">
        <v>35</v>
      </c>
      <c r="F62" s="40">
        <f>IF(E62="Oui",Paramètres!$C$4,0)</f>
        <v>1000</v>
      </c>
      <c r="G62" s="40">
        <f>IF(B62="","",SUMIF(Paiements!$B$3:$B$506,B62,Paiements!$C$3:$C$506))</f>
        <v>0</v>
      </c>
      <c r="H62" s="27" t="str">
        <f>IF(B62="","",IF(G62&gt;=Paramètres!$C$5,"À déclarer","—"))</f>
        <v>—</v>
      </c>
      <c r="I62" s="24"/>
    </row>
    <row r="63" spans="1:9" x14ac:dyDescent="0.25">
      <c r="A63" s="22">
        <f t="shared" si="1"/>
        <v>61</v>
      </c>
      <c r="B63" s="23" t="s">
        <v>113</v>
      </c>
      <c r="C63" s="23"/>
      <c r="D63" s="24">
        <v>46185</v>
      </c>
      <c r="E63" s="25" t="s">
        <v>35</v>
      </c>
      <c r="F63" s="26">
        <f>IF(E63="Oui",Paramètres!$C$4,0)</f>
        <v>1000</v>
      </c>
      <c r="G63" s="26">
        <f>IF(B63="","",SUMIF(Paiements!$B$3:$B$506,B63,Paiements!$C$3:$C$506))</f>
        <v>0</v>
      </c>
      <c r="H63" s="27" t="str">
        <f>IF(B63="","",IF(G63&gt;=Paramètres!$C$5,"À déclarer","—"))</f>
        <v>—</v>
      </c>
      <c r="I63" s="24"/>
    </row>
    <row r="64" spans="1:9" x14ac:dyDescent="0.25">
      <c r="A64" s="36">
        <f t="shared" si="1"/>
        <v>62</v>
      </c>
      <c r="B64" s="37" t="s">
        <v>114</v>
      </c>
      <c r="C64" s="37"/>
      <c r="D64" s="38">
        <v>46185</v>
      </c>
      <c r="E64" s="39" t="s">
        <v>35</v>
      </c>
      <c r="F64" s="40">
        <f>IF(E64="Oui",Paramètres!$C$4,0)</f>
        <v>1000</v>
      </c>
      <c r="G64" s="40">
        <f>IF(B64="","",SUMIF(Paiements!$B$3:$B$506,B64,Paiements!$C$3:$C$506))</f>
        <v>0</v>
      </c>
      <c r="H64" s="27" t="str">
        <f>IF(B64="","",IF(G64&gt;=Paramètres!$C$5,"À déclarer","—"))</f>
        <v>—</v>
      </c>
      <c r="I64" s="24"/>
    </row>
    <row r="65" spans="1:11" x14ac:dyDescent="0.25">
      <c r="A65" s="22">
        <f t="shared" si="1"/>
        <v>63</v>
      </c>
      <c r="B65" s="23" t="s">
        <v>115</v>
      </c>
      <c r="C65" s="23"/>
      <c r="D65" s="24">
        <v>46185</v>
      </c>
      <c r="E65" s="25" t="s">
        <v>35</v>
      </c>
      <c r="F65" s="26">
        <f>IF(E65="Oui",Paramètres!$C$4,0)</f>
        <v>1000</v>
      </c>
      <c r="G65" s="26">
        <f>IF(B65="","",SUMIF(Paiements!$B$3:$B$506,B65,Paiements!$C$3:$C$506))</f>
        <v>0</v>
      </c>
      <c r="H65" s="27" t="str">
        <f>IF(B65="","",IF(G65&gt;=Paramètres!$C$5,"À déclarer","—"))</f>
        <v>—</v>
      </c>
      <c r="I65" s="24"/>
    </row>
    <row r="66" spans="1:11" x14ac:dyDescent="0.25">
      <c r="A66" s="22">
        <f t="shared" si="1"/>
        <v>64</v>
      </c>
      <c r="B66" s="23" t="s">
        <v>202</v>
      </c>
      <c r="C66" s="23"/>
      <c r="D66" s="24">
        <v>46185</v>
      </c>
      <c r="E66" s="25" t="s">
        <v>35</v>
      </c>
      <c r="F66" s="26">
        <f>IF(E66="Oui",Paramètres!$C$4,0)</f>
        <v>1000</v>
      </c>
      <c r="G66" s="26">
        <f>IF(B66="","",SUMIF(Paiements!$B$3:$B$506,B66,Paiements!$C$3:$C$506))</f>
        <v>0</v>
      </c>
      <c r="H66" s="27" t="str">
        <f>IF(B66="","",IF(G66&gt;=Paramètres!$C$5,"À déclarer","—"))</f>
        <v>—</v>
      </c>
      <c r="I66" s="24"/>
      <c r="K66" t="s">
        <v>234</v>
      </c>
    </row>
    <row r="67" spans="1:11" x14ac:dyDescent="0.25">
      <c r="A67" s="36">
        <f t="shared" ref="A67:A98" si="2">IF(B67="","",ROW()-2)</f>
        <v>65</v>
      </c>
      <c r="B67" s="37" t="s">
        <v>116</v>
      </c>
      <c r="C67" s="37"/>
      <c r="D67" s="38">
        <v>46188</v>
      </c>
      <c r="E67" s="39" t="s">
        <v>35</v>
      </c>
      <c r="F67" s="40">
        <f>IF(E67="Oui",Paramètres!$C$4,0)</f>
        <v>1000</v>
      </c>
      <c r="G67" s="40">
        <f>IF(B67="","",SUMIF(Paiements!$B$3:$B$506,B67,Paiements!$C$3:$C$506))</f>
        <v>0</v>
      </c>
      <c r="H67" s="27" t="str">
        <f>IF(B67="","",IF(G67&gt;=Paramètres!$C$5,"À déclarer","—"))</f>
        <v>—</v>
      </c>
      <c r="I67" s="24"/>
    </row>
    <row r="68" spans="1:11" x14ac:dyDescent="0.25">
      <c r="A68" s="22">
        <f t="shared" si="2"/>
        <v>66</v>
      </c>
      <c r="B68" s="23" t="s">
        <v>117</v>
      </c>
      <c r="C68" s="23">
        <v>699257063</v>
      </c>
      <c r="D68" s="24">
        <v>46188</v>
      </c>
      <c r="E68" s="25" t="s">
        <v>35</v>
      </c>
      <c r="F68" s="26">
        <f>IF(E68="Oui",Paramètres!$C$4,0)</f>
        <v>1000</v>
      </c>
      <c r="G68" s="26">
        <f>IF(B68="","",SUMIF(Paiements!$B$3:$B$506,B68,Paiements!$C$3:$C$506))</f>
        <v>5000</v>
      </c>
      <c r="H68" s="27" t="str">
        <f>IF(B68="","",IF(G68&gt;=Paramètres!$C$5,"À déclarer","—"))</f>
        <v>—</v>
      </c>
      <c r="I68" s="24"/>
    </row>
    <row r="69" spans="1:11" x14ac:dyDescent="0.25">
      <c r="A69" s="22">
        <f t="shared" si="2"/>
        <v>67</v>
      </c>
      <c r="B69" s="23" t="s">
        <v>118</v>
      </c>
      <c r="C69" s="23"/>
      <c r="D69" s="24">
        <v>46188</v>
      </c>
      <c r="E69" s="25" t="s">
        <v>35</v>
      </c>
      <c r="F69" s="26">
        <f>IF(E69="Oui",Paramètres!$C$4,0)</f>
        <v>1000</v>
      </c>
      <c r="G69" s="26">
        <f>IF(B69="","",SUMIF(Paiements!$B$3:$B$506,B69,Paiements!$C$3:$C$506))</f>
        <v>0</v>
      </c>
      <c r="H69" s="27" t="str">
        <f>IF(B69="","",IF(G69&gt;=Paramètres!$C$5,"À déclarer","—"))</f>
        <v>—</v>
      </c>
      <c r="I69" s="24"/>
    </row>
    <row r="70" spans="1:11" x14ac:dyDescent="0.25">
      <c r="A70" s="22">
        <f t="shared" si="2"/>
        <v>68</v>
      </c>
      <c r="B70" s="23" t="s">
        <v>119</v>
      </c>
      <c r="C70" s="23"/>
      <c r="D70" s="24">
        <v>46188</v>
      </c>
      <c r="E70" s="25" t="s">
        <v>35</v>
      </c>
      <c r="F70" s="26">
        <f>IF(E70="Oui",Paramètres!$C$4,0)</f>
        <v>1000</v>
      </c>
      <c r="G70" s="26">
        <f>IF(B70="","",SUMIF(Paiements!$B$3:$B$506,B70,Paiements!$C$3:$C$506))</f>
        <v>0</v>
      </c>
      <c r="H70" s="27" t="str">
        <f>IF(B70="","",IF(G70&gt;=Paramètres!$C$5,"À déclarer","—"))</f>
        <v>—</v>
      </c>
      <c r="I70" s="24"/>
    </row>
    <row r="71" spans="1:11" x14ac:dyDescent="0.25">
      <c r="A71" s="43">
        <v>69</v>
      </c>
      <c r="B71" s="44" t="s">
        <v>120</v>
      </c>
      <c r="C71" s="44"/>
      <c r="D71" s="45">
        <v>46188</v>
      </c>
      <c r="E71" s="46" t="s">
        <v>35</v>
      </c>
      <c r="F71" s="47">
        <f>IF(E71="Oui",Paramètres!$C$4,0)</f>
        <v>1000</v>
      </c>
      <c r="G71" s="26">
        <f>IF(B71="","",SUMIF(Paiements!$B$3:$B$506,B71,Paiements!$C$3:$C$506))</f>
        <v>0</v>
      </c>
      <c r="H71" s="27" t="str">
        <f>IF(B71="","",IF(G71&gt;=Paramètres!$C$5,"À déclarer","—"))</f>
        <v>—</v>
      </c>
      <c r="I71" s="24"/>
    </row>
    <row r="72" spans="1:11" x14ac:dyDescent="0.25">
      <c r="A72" s="22">
        <f t="shared" si="2"/>
        <v>70</v>
      </c>
      <c r="B72" s="23" t="s">
        <v>121</v>
      </c>
      <c r="C72" s="23"/>
      <c r="D72" s="24">
        <v>46188</v>
      </c>
      <c r="E72" s="25" t="s">
        <v>35</v>
      </c>
      <c r="F72" s="26">
        <f>IF(E72="Oui",Paramètres!$C$4,0)</f>
        <v>1000</v>
      </c>
      <c r="G72" s="26">
        <f>IF(B72="","",SUMIF(Paiements!$B$3:$B$506,B72,Paiements!$C$3:$C$506))</f>
        <v>0</v>
      </c>
      <c r="H72" s="27" t="str">
        <f>IF(B72="","",IF(G72&gt;=Paramètres!$C$5,"À déclarer","—"))</f>
        <v>—</v>
      </c>
      <c r="I72" s="24"/>
    </row>
    <row r="73" spans="1:11" x14ac:dyDescent="0.25">
      <c r="A73" s="22">
        <f t="shared" si="2"/>
        <v>71</v>
      </c>
      <c r="B73" s="23" t="s">
        <v>122</v>
      </c>
      <c r="C73" s="23">
        <v>687266829</v>
      </c>
      <c r="D73" s="24">
        <v>46188</v>
      </c>
      <c r="E73" s="25" t="s">
        <v>35</v>
      </c>
      <c r="F73" s="26">
        <f>IF(E73="Oui",Paramètres!$C$4,0)</f>
        <v>1000</v>
      </c>
      <c r="G73" s="26">
        <f>IF(B73="","",SUMIF(Paiements!$B$3:$B$506,B73,Paiements!$C$3:$C$506))</f>
        <v>0</v>
      </c>
      <c r="H73" s="27" t="str">
        <f>IF(B73="","",IF(G73&gt;=Paramètres!$C$5,"À déclarer","—"))</f>
        <v>—</v>
      </c>
      <c r="I73" s="24"/>
    </row>
    <row r="74" spans="1:11" x14ac:dyDescent="0.25">
      <c r="A74" s="22">
        <f t="shared" si="2"/>
        <v>72</v>
      </c>
      <c r="B74" s="23" t="s">
        <v>123</v>
      </c>
      <c r="C74" s="23"/>
      <c r="D74" s="24">
        <v>46188</v>
      </c>
      <c r="E74" s="25" t="s">
        <v>35</v>
      </c>
      <c r="F74" s="26">
        <f>IF(E74="Oui",Paramètres!$C$4,0)</f>
        <v>1000</v>
      </c>
      <c r="G74" s="26">
        <f>IF(B74="","",SUMIF(Paiements!$B$3:$B$506,B74,Paiements!$C$3:$C$506))</f>
        <v>0</v>
      </c>
      <c r="H74" s="27" t="str">
        <f>IF(B74="","",IF(G74&gt;=Paramètres!$C$5,"À déclarer","—"))</f>
        <v>—</v>
      </c>
      <c r="I74" s="24"/>
      <c r="K74" t="s">
        <v>234</v>
      </c>
    </row>
    <row r="75" spans="1:11" x14ac:dyDescent="0.25">
      <c r="A75" s="22">
        <v>73</v>
      </c>
      <c r="B75" s="23" t="s">
        <v>124</v>
      </c>
      <c r="C75" s="23"/>
      <c r="D75" s="24">
        <v>46191</v>
      </c>
      <c r="E75" s="25" t="s">
        <v>35</v>
      </c>
      <c r="F75" s="26">
        <f>IF(E75="Oui",Paramètres!$C$4,0)</f>
        <v>1000</v>
      </c>
      <c r="G75" s="26">
        <f>IF(B75="","",SUMIF(Paiements!$B$3:$B$506,B75,Paiements!$C$3:$C$506))</f>
        <v>0</v>
      </c>
      <c r="H75" s="27" t="str">
        <f>IF(B75="","",IF(G75&gt;=Paramètres!$C$5,"À déclarer","—"))</f>
        <v>—</v>
      </c>
      <c r="I75" s="24"/>
    </row>
    <row r="76" spans="1:11" x14ac:dyDescent="0.25">
      <c r="A76" s="22">
        <v>74</v>
      </c>
      <c r="B76" s="37" t="s">
        <v>125</v>
      </c>
      <c r="C76" s="37"/>
      <c r="D76" s="38">
        <v>46191</v>
      </c>
      <c r="E76" s="39" t="s">
        <v>35</v>
      </c>
      <c r="F76" s="40">
        <f>IF(E76="Oui",Paramètres!$C$4,0)</f>
        <v>1000</v>
      </c>
      <c r="G76" s="26">
        <f>IF(B76="","",SUMIF(Paiements!$B$3:$B$506,B76,Paiements!$C$3:$C$506))</f>
        <v>0</v>
      </c>
      <c r="H76" s="27" t="str">
        <f>IF(B76="","",IF(G76&gt;=Paramètres!$C$5,"À déclarer","—"))</f>
        <v>—</v>
      </c>
      <c r="I76" s="24"/>
    </row>
    <row r="77" spans="1:11" x14ac:dyDescent="0.25">
      <c r="A77" s="22">
        <f t="shared" si="2"/>
        <v>75</v>
      </c>
      <c r="B77" s="23" t="s">
        <v>126</v>
      </c>
      <c r="C77" s="23"/>
      <c r="D77" s="24" t="s">
        <v>127</v>
      </c>
      <c r="E77" s="25" t="s">
        <v>35</v>
      </c>
      <c r="F77" s="26">
        <f>IF(E77="Oui",Paramètres!$C$4,0)</f>
        <v>1000</v>
      </c>
      <c r="G77" s="26">
        <f>IF(B77="","",SUMIF(Paiements!$B$3:$B$506,B77,Paiements!$C$3:$C$506))</f>
        <v>0</v>
      </c>
      <c r="H77" s="27" t="str">
        <f>IF(B77="","",IF(G77&gt;=Paramètres!$C$5,"À déclarer","—"))</f>
        <v>—</v>
      </c>
      <c r="I77" s="24"/>
    </row>
    <row r="78" spans="1:11" x14ac:dyDescent="0.25">
      <c r="A78" s="22">
        <f t="shared" si="2"/>
        <v>76</v>
      </c>
      <c r="B78" s="23" t="s">
        <v>128</v>
      </c>
      <c r="C78" s="23"/>
      <c r="D78" s="24">
        <v>46191</v>
      </c>
      <c r="E78" s="25" t="s">
        <v>35</v>
      </c>
      <c r="F78" s="26">
        <f>IF(E78="Oui",Paramètres!$C$4,0)</f>
        <v>1000</v>
      </c>
      <c r="G78" s="26">
        <f>IF(B78="","",SUMIF(Paiements!$B$3:$B$506,B78,Paiements!$C$3:$C$506))</f>
        <v>0</v>
      </c>
      <c r="H78" s="27" t="str">
        <f>IF(B78="","",IF(G78&gt;=Paramètres!$C$5,"À déclarer","—"))</f>
        <v>—</v>
      </c>
      <c r="I78" s="24"/>
    </row>
    <row r="79" spans="1:11" x14ac:dyDescent="0.25">
      <c r="A79" s="22">
        <f t="shared" si="2"/>
        <v>77</v>
      </c>
      <c r="B79" s="37" t="s">
        <v>129</v>
      </c>
      <c r="C79" s="37"/>
      <c r="D79" s="38">
        <v>46191</v>
      </c>
      <c r="E79" s="39" t="s">
        <v>35</v>
      </c>
      <c r="F79" s="40">
        <f>IF(E79="Oui",Paramètres!$C$4,0)</f>
        <v>1000</v>
      </c>
      <c r="G79" s="40">
        <f>IF(B79="","",SUMIF(Paiements!$B$3:$B$506,B79,Paiements!$C$3:$C$506))</f>
        <v>0</v>
      </c>
      <c r="H79" s="27" t="str">
        <f>IF(B79="","",IF(G79&gt;=Paramètres!$C$5,"À déclarer","—"))</f>
        <v>—</v>
      </c>
      <c r="I79" s="24"/>
    </row>
    <row r="80" spans="1:11" x14ac:dyDescent="0.25">
      <c r="A80" s="22">
        <f t="shared" si="2"/>
        <v>78</v>
      </c>
      <c r="B80" s="37" t="s">
        <v>130</v>
      </c>
      <c r="C80" s="37"/>
      <c r="D80" s="38">
        <v>46191</v>
      </c>
      <c r="E80" s="39" t="s">
        <v>35</v>
      </c>
      <c r="F80" s="40">
        <f>IF(E80="Oui",Paramètres!$C$4,0)</f>
        <v>1000</v>
      </c>
      <c r="G80" s="40">
        <f>IF(B80="","",SUMIF(Paiements!$B$3:$B$506,B80,Paiements!$C$3:$C$506))</f>
        <v>0</v>
      </c>
      <c r="H80" s="27" t="str">
        <f>IF(B80="","",IF(G80&gt;=Paramètres!$C$5,"À déclarer","—"))</f>
        <v>—</v>
      </c>
      <c r="I80" s="24"/>
    </row>
    <row r="81" spans="1:9" x14ac:dyDescent="0.25">
      <c r="A81" s="22">
        <f t="shared" si="2"/>
        <v>79</v>
      </c>
      <c r="B81" s="37" t="s">
        <v>131</v>
      </c>
      <c r="C81" s="37"/>
      <c r="D81" s="38">
        <v>46191</v>
      </c>
      <c r="E81" s="39" t="s">
        <v>35</v>
      </c>
      <c r="F81" s="40">
        <f>IF(E81="Oui",Paramètres!$C$4,0)</f>
        <v>1000</v>
      </c>
      <c r="G81" s="40">
        <f>IF(B81="","",SUMIF(Paiements!$B$3:$B$506,B81,Paiements!$C$3:$C$506))</f>
        <v>0</v>
      </c>
      <c r="H81" s="27" t="str">
        <f>IF(B81="","",IF(G81&gt;=Paramètres!$C$5,"À déclarer","—"))</f>
        <v>—</v>
      </c>
      <c r="I81" s="24"/>
    </row>
    <row r="82" spans="1:9" x14ac:dyDescent="0.25">
      <c r="A82" s="43">
        <f t="shared" si="2"/>
        <v>80</v>
      </c>
      <c r="B82" s="44" t="s">
        <v>132</v>
      </c>
      <c r="C82" s="44"/>
      <c r="D82" s="45">
        <v>46191</v>
      </c>
      <c r="E82" s="46" t="s">
        <v>35</v>
      </c>
      <c r="F82" s="47">
        <f>IF(E82="Oui",Paramètres!$C$4,0)</f>
        <v>1000</v>
      </c>
      <c r="G82" s="26">
        <f>IF(B82="","",SUMIF(Paiements!$B$3:$B$506,B82,Paiements!$C$3:$C$506))</f>
        <v>0</v>
      </c>
      <c r="H82" s="48" t="str">
        <f>IF(B82="","",IF(G82&gt;=Paramètres!$C$5,"À déclarer","—"))</f>
        <v>—</v>
      </c>
      <c r="I82" s="24"/>
    </row>
    <row r="83" spans="1:9" x14ac:dyDescent="0.25">
      <c r="A83" s="22">
        <f t="shared" si="2"/>
        <v>81</v>
      </c>
      <c r="B83" s="23" t="s">
        <v>133</v>
      </c>
      <c r="C83" s="23"/>
      <c r="D83" s="24">
        <v>46191</v>
      </c>
      <c r="E83" s="25" t="s">
        <v>35</v>
      </c>
      <c r="F83" s="26">
        <f>IF(E83="Oui",Paramètres!$C$4,0)</f>
        <v>1000</v>
      </c>
      <c r="G83" s="26">
        <f>IF(B83="","",SUMIF(Paiements!$B$3:$B$506,B83,Paiements!$C$3:$C$506))</f>
        <v>0</v>
      </c>
      <c r="H83" s="27" t="str">
        <f>IF(B83="","",IF(G83&gt;=Paramètres!$C$5,"À déclarer","—"))</f>
        <v>—</v>
      </c>
      <c r="I83" s="24"/>
    </row>
    <row r="84" spans="1:9" x14ac:dyDescent="0.25">
      <c r="A84" s="36">
        <f t="shared" si="2"/>
        <v>82</v>
      </c>
      <c r="B84" s="37" t="s">
        <v>134</v>
      </c>
      <c r="C84" s="37"/>
      <c r="D84" s="38">
        <v>46192</v>
      </c>
      <c r="E84" s="39" t="s">
        <v>35</v>
      </c>
      <c r="F84" s="40">
        <f>IF(E84="Oui",Paramètres!$C$4,0)</f>
        <v>1000</v>
      </c>
      <c r="G84" s="40">
        <f>IF(B84="","",SUMIF(Paiements!$B$3:$B$506,B84,Paiements!$C$3:$C$506))</f>
        <v>0</v>
      </c>
      <c r="H84" s="27" t="str">
        <f>IF(B84="","",IF(G84&gt;=Paramètres!$C$5,"À déclarer","—"))</f>
        <v>—</v>
      </c>
      <c r="I84" s="24"/>
    </row>
    <row r="85" spans="1:9" x14ac:dyDescent="0.25">
      <c r="A85" s="22">
        <f t="shared" si="2"/>
        <v>83</v>
      </c>
      <c r="B85" s="23" t="s">
        <v>135</v>
      </c>
      <c r="C85" s="23"/>
      <c r="D85" s="24">
        <v>46192</v>
      </c>
      <c r="E85" s="25" t="s">
        <v>35</v>
      </c>
      <c r="F85" s="26">
        <f>IF(E85="Oui",Paramètres!$C$4,0)</f>
        <v>1000</v>
      </c>
      <c r="G85" s="26">
        <f>IF(B85="","",SUMIF(Paiements!$B$3:$B$506,B85,Paiements!$C$3:$C$506))</f>
        <v>0</v>
      </c>
      <c r="H85" s="27" t="str">
        <f>IF(B85="","",IF(G85&gt;=Paramètres!$C$5,"À déclarer","—"))</f>
        <v>—</v>
      </c>
      <c r="I85" s="24"/>
    </row>
    <row r="86" spans="1:9" x14ac:dyDescent="0.25">
      <c r="A86" s="22">
        <f t="shared" si="2"/>
        <v>84</v>
      </c>
      <c r="B86" s="37" t="s">
        <v>136</v>
      </c>
      <c r="C86" s="37"/>
      <c r="D86" s="38">
        <v>46192</v>
      </c>
      <c r="E86" s="39" t="s">
        <v>35</v>
      </c>
      <c r="F86" s="40">
        <f>IF(E86="Oui",Paramètres!$C$4,0)</f>
        <v>1000</v>
      </c>
      <c r="G86" s="26">
        <f>IF(B86="","",SUMIF(Paiements!$B$3:$B$506,B86,Paiements!$C$3:$C$506))</f>
        <v>0</v>
      </c>
      <c r="H86" s="27" t="str">
        <f>IF(B86="","",IF(G86&gt;=Paramètres!$C$5,"À déclarer","—"))</f>
        <v>—</v>
      </c>
      <c r="I86" s="24"/>
    </row>
    <row r="87" spans="1:9" x14ac:dyDescent="0.25">
      <c r="A87" s="22">
        <f t="shared" si="2"/>
        <v>85</v>
      </c>
      <c r="B87" s="37" t="s">
        <v>137</v>
      </c>
      <c r="C87" s="37"/>
      <c r="D87" s="38">
        <v>46192</v>
      </c>
      <c r="E87" s="39" t="s">
        <v>35</v>
      </c>
      <c r="F87" s="40">
        <f>IF(E87="Oui",Paramètres!$C$4,0)</f>
        <v>1000</v>
      </c>
      <c r="G87" s="40">
        <f>IF(B87="","",SUMIF(Paiements!$B$3:$B$506,B87,Paiements!$C$3:$C$506))</f>
        <v>0</v>
      </c>
      <c r="H87" s="27" t="str">
        <f>IF(B87="","",IF(G87&gt;=Paramètres!$C$5,"À déclarer","—"))</f>
        <v>—</v>
      </c>
      <c r="I87" s="24"/>
    </row>
    <row r="88" spans="1:9" x14ac:dyDescent="0.25">
      <c r="A88" s="43">
        <f t="shared" si="2"/>
        <v>86</v>
      </c>
      <c r="B88" s="44" t="s">
        <v>231</v>
      </c>
      <c r="C88" s="44"/>
      <c r="D88" s="45">
        <v>46192</v>
      </c>
      <c r="E88" s="46" t="s">
        <v>35</v>
      </c>
      <c r="F88" s="47">
        <f>IF(E88="Oui",Paramètres!$C$4,0)</f>
        <v>1000</v>
      </c>
      <c r="G88" s="26">
        <f>IF(B88="","",SUMIF(Paiements!$B$3:$B$506,B88,Paiements!$C$3:$C$506))</f>
        <v>0</v>
      </c>
      <c r="H88" s="27" t="str">
        <f>IF(B88="","",IF(G88&gt;=Paramètres!$C$5,"À déclarer","—"))</f>
        <v>—</v>
      </c>
      <c r="I88" s="24"/>
    </row>
    <row r="89" spans="1:9" x14ac:dyDescent="0.25">
      <c r="A89" s="22">
        <f t="shared" si="2"/>
        <v>87</v>
      </c>
      <c r="B89" s="23" t="s">
        <v>138</v>
      </c>
      <c r="C89" s="23"/>
      <c r="D89" s="24">
        <v>46192</v>
      </c>
      <c r="E89" s="25" t="s">
        <v>35</v>
      </c>
      <c r="F89" s="26">
        <f>IF(E89="Oui",Paramètres!$C$4,0)</f>
        <v>1000</v>
      </c>
      <c r="G89" s="26">
        <f>IF(B89="","",SUMIF(Paiements!$B$3:$B$506,B89,Paiements!$C$3:$C$506))</f>
        <v>0</v>
      </c>
      <c r="H89" s="27" t="str">
        <f>IF(B89="","",IF(G89&gt;=Paramètres!$C$5,"À déclarer","—"))</f>
        <v>—</v>
      </c>
      <c r="I89" s="24"/>
    </row>
    <row r="90" spans="1:9" x14ac:dyDescent="0.25">
      <c r="A90" s="22">
        <f t="shared" si="2"/>
        <v>88</v>
      </c>
      <c r="B90" s="23" t="s">
        <v>213</v>
      </c>
      <c r="C90" s="23"/>
      <c r="D90" s="24">
        <v>46192</v>
      </c>
      <c r="E90" s="25" t="s">
        <v>35</v>
      </c>
      <c r="F90" s="26">
        <f>IF(E90="Oui",Paramètres!$C$4,0)</f>
        <v>1000</v>
      </c>
      <c r="G90" s="26">
        <f>IF(B90="","",SUMIF(Paiements!$B$3:$B$506,B90,Paiements!$C$3:$C$506))</f>
        <v>60000</v>
      </c>
      <c r="H90" s="27" t="str">
        <f>IF(B90="","",IF(G90&gt;=Paramètres!$C$5,"À déclarer","—"))</f>
        <v>À déclarer</v>
      </c>
      <c r="I90" s="24">
        <v>46231</v>
      </c>
    </row>
    <row r="91" spans="1:9" x14ac:dyDescent="0.25">
      <c r="A91" s="22">
        <f t="shared" si="2"/>
        <v>89</v>
      </c>
      <c r="B91" s="37" t="s">
        <v>139</v>
      </c>
      <c r="C91" s="37"/>
      <c r="D91" s="38">
        <v>46195</v>
      </c>
      <c r="E91" s="39" t="s">
        <v>35</v>
      </c>
      <c r="F91" s="40">
        <f>IF(E91="Oui",Paramètres!$C$4,0)</f>
        <v>1000</v>
      </c>
      <c r="G91" s="40">
        <f>IF(B91="","",SUMIF(Paiements!$B$3:$B$506,B91,Paiements!$C$3:$C$506))</f>
        <v>0</v>
      </c>
      <c r="H91" s="27" t="str">
        <f>IF(B91="","",IF(G91&gt;=Paramètres!$C$5,"À déclarer","—"))</f>
        <v>—</v>
      </c>
      <c r="I91" s="24"/>
    </row>
    <row r="92" spans="1:9" x14ac:dyDescent="0.25">
      <c r="A92" s="36">
        <v>90</v>
      </c>
      <c r="B92" s="37" t="s">
        <v>44</v>
      </c>
      <c r="C92" s="37"/>
      <c r="D92" s="38">
        <v>46195</v>
      </c>
      <c r="E92" s="39" t="s">
        <v>35</v>
      </c>
      <c r="F92" s="40">
        <f>IF(E92="Oui",Paramètres!$C$4,0)</f>
        <v>1000</v>
      </c>
      <c r="G92" s="26">
        <f>IF(B92="","",SUMIF(Paiements!$B$3:$B$506,B92,Paiements!$C$3:$C$506))</f>
        <v>1000</v>
      </c>
      <c r="H92" s="27" t="str">
        <f>IF(B92="","",IF(G92&gt;=Paramètres!$C$5,"À déclarer","—"))</f>
        <v>—</v>
      </c>
      <c r="I92" s="24"/>
    </row>
    <row r="93" spans="1:9" x14ac:dyDescent="0.25">
      <c r="A93" s="22">
        <f t="shared" si="2"/>
        <v>91</v>
      </c>
      <c r="B93" s="37" t="s">
        <v>140</v>
      </c>
      <c r="C93" s="37"/>
      <c r="D93" s="38">
        <v>46196</v>
      </c>
      <c r="E93" s="39" t="s">
        <v>35</v>
      </c>
      <c r="F93" s="40">
        <f>IF(E93="Oui",Paramètres!$C$4,0)</f>
        <v>1000</v>
      </c>
      <c r="G93" s="40">
        <f>IF(B93="","",SUMIF(Paiements!$B$3:$B$506,B93,Paiements!$C$3:$C$506))</f>
        <v>0</v>
      </c>
      <c r="H93" s="27" t="str">
        <f>IF(B93="","",IF(G93&gt;=Paramètres!$C$5,"À déclarer","—"))</f>
        <v>—</v>
      </c>
      <c r="I93" s="24"/>
    </row>
    <row r="94" spans="1:9" x14ac:dyDescent="0.25">
      <c r="A94" s="36">
        <f t="shared" si="2"/>
        <v>92</v>
      </c>
      <c r="B94" s="37" t="s">
        <v>141</v>
      </c>
      <c r="C94" s="37"/>
      <c r="D94" s="38">
        <v>46196</v>
      </c>
      <c r="E94" s="39" t="s">
        <v>35</v>
      </c>
      <c r="F94" s="40">
        <f>IF(E94="Oui",Paramètres!$C$4,0)</f>
        <v>1000</v>
      </c>
      <c r="G94" s="40">
        <f>IF(B94="","",SUMIF(Paiements!$B$3:$B$506,B94,Paiements!$C$3:$C$506))</f>
        <v>0</v>
      </c>
      <c r="H94" s="27" t="str">
        <f>IF(B94="","",IF(G94&gt;=Paramètres!$C$5,"À déclarer","—"))</f>
        <v>—</v>
      </c>
      <c r="I94" s="24"/>
    </row>
    <row r="95" spans="1:9" x14ac:dyDescent="0.25">
      <c r="A95" s="22">
        <f t="shared" si="2"/>
        <v>93</v>
      </c>
      <c r="B95" s="23" t="s">
        <v>142</v>
      </c>
      <c r="C95" s="23"/>
      <c r="D95" s="24">
        <v>46196</v>
      </c>
      <c r="E95" s="25" t="s">
        <v>35</v>
      </c>
      <c r="F95" s="26">
        <f>IF(E95="Oui",Paramètres!$C$4,0)</f>
        <v>1000</v>
      </c>
      <c r="G95" s="26">
        <f>IF(B95="","",SUMIF(Paiements!$B$3:$B$506,B95,Paiements!$C$3:$C$506))</f>
        <v>0</v>
      </c>
      <c r="H95" s="27" t="str">
        <f>IF(B95="","",IF(G95&gt;=Paramètres!$C$5,"À déclarer","—"))</f>
        <v>—</v>
      </c>
      <c r="I95" s="24"/>
    </row>
    <row r="96" spans="1:9" s="62" customFormat="1" x14ac:dyDescent="0.25">
      <c r="A96" s="56">
        <f t="shared" si="2"/>
        <v>94</v>
      </c>
      <c r="B96" s="57" t="s">
        <v>143</v>
      </c>
      <c r="C96" s="57"/>
      <c r="D96" s="58">
        <v>46196</v>
      </c>
      <c r="E96" s="59" t="s">
        <v>35</v>
      </c>
      <c r="F96" s="60">
        <f>IF(E96="Oui",Paramètres!$C$4,0)</f>
        <v>1000</v>
      </c>
      <c r="G96" s="60">
        <f>IF(B96="","",SUMIF(Paiements!$B$3:$B$506,B96,Paiements!$C$3:$C$506))</f>
        <v>0</v>
      </c>
      <c r="H96" s="61" t="str">
        <f>IF(B96="","",IF(G96&gt;=Paramètres!$C$5,"À déclarer","—"))</f>
        <v>—</v>
      </c>
      <c r="I96" s="58"/>
    </row>
    <row r="97" spans="1:9" s="42" customFormat="1" x14ac:dyDescent="0.25">
      <c r="A97" s="36">
        <f t="shared" si="2"/>
        <v>95</v>
      </c>
      <c r="B97" s="37" t="s">
        <v>144</v>
      </c>
      <c r="C97" s="37"/>
      <c r="D97" s="38">
        <v>46197</v>
      </c>
      <c r="E97" s="39" t="s">
        <v>35</v>
      </c>
      <c r="F97" s="40">
        <f>IF(E97="Oui",Paramètres!$C$4,0)</f>
        <v>1000</v>
      </c>
      <c r="G97" s="26">
        <f>IF(B97="","",SUMIF(Paiements!$B$3:$B$506,B97,Paiements!$C$3:$C$506))</f>
        <v>0</v>
      </c>
      <c r="H97" s="41" t="str">
        <f>IF(B97="","",IF(G97&gt;=Paramètres!$C$5,"À déclarer","—"))</f>
        <v>—</v>
      </c>
      <c r="I97" s="38"/>
    </row>
    <row r="98" spans="1:9" x14ac:dyDescent="0.25">
      <c r="A98" s="43">
        <f t="shared" si="2"/>
        <v>96</v>
      </c>
      <c r="B98" s="44" t="s">
        <v>232</v>
      </c>
      <c r="C98" s="44"/>
      <c r="D98" s="45">
        <v>46197</v>
      </c>
      <c r="E98" s="46" t="s">
        <v>35</v>
      </c>
      <c r="F98" s="47">
        <f>IF(E98="Oui",Paramètres!$C$4,0)</f>
        <v>1000</v>
      </c>
      <c r="G98" s="26">
        <f>IF(B98="","",SUMIF(Paiements!$B$3:$B$506,B98,Paiements!$C$3:$C$506))</f>
        <v>0</v>
      </c>
      <c r="H98" s="27" t="str">
        <f>IF(B98="","",IF(G98&gt;=Paramètres!$C$5,"À déclarer","—"))</f>
        <v>—</v>
      </c>
      <c r="I98" s="24"/>
    </row>
    <row r="99" spans="1:9" x14ac:dyDescent="0.25">
      <c r="A99" s="22">
        <f t="shared" ref="A99:A130" si="3">IF(B99="","",ROW()-2)</f>
        <v>97</v>
      </c>
      <c r="B99" s="37" t="s">
        <v>145</v>
      </c>
      <c r="C99" s="37"/>
      <c r="D99" s="38">
        <v>46197</v>
      </c>
      <c r="E99" s="39" t="s">
        <v>35</v>
      </c>
      <c r="F99" s="40">
        <f>IF(E99="Oui",Paramètres!$C$4,0)</f>
        <v>1000</v>
      </c>
      <c r="G99" s="26">
        <f>IF(B99="","",SUMIF(Paiements!$B$3:$B$506,B99,Paiements!$C$3:$C$506))</f>
        <v>0</v>
      </c>
      <c r="H99" s="27" t="str">
        <f>IF(B99="","",IF(G99&gt;=Paramètres!$C$5,"À déclarer","—"))</f>
        <v>—</v>
      </c>
      <c r="I99" s="24"/>
    </row>
    <row r="100" spans="1:9" x14ac:dyDescent="0.25">
      <c r="A100" s="22">
        <f t="shared" si="3"/>
        <v>98</v>
      </c>
      <c r="B100" s="23" t="s">
        <v>146</v>
      </c>
      <c r="C100" s="23"/>
      <c r="D100" s="24">
        <v>46197</v>
      </c>
      <c r="E100" s="25" t="s">
        <v>35</v>
      </c>
      <c r="F100" s="26">
        <f>IF(E100="Oui",Paramètres!$C$4,0)</f>
        <v>1000</v>
      </c>
      <c r="G100" s="26">
        <f>IF(B100="","",SUMIF(Paiements!$B$3:$B$506,B100,Paiements!$C$3:$C$506))</f>
        <v>0</v>
      </c>
      <c r="H100" s="27" t="str">
        <f>IF(B100="","",IF(G100&gt;=Paramètres!$C$5,"À déclarer","—"))</f>
        <v>—</v>
      </c>
      <c r="I100" s="24"/>
    </row>
    <row r="101" spans="1:9" x14ac:dyDescent="0.25">
      <c r="A101" s="22">
        <f t="shared" si="3"/>
        <v>99</v>
      </c>
      <c r="B101" s="23" t="s">
        <v>218</v>
      </c>
      <c r="C101" s="23">
        <v>651473557</v>
      </c>
      <c r="D101" s="24">
        <v>46198</v>
      </c>
      <c r="E101" s="25" t="s">
        <v>35</v>
      </c>
      <c r="F101" s="26">
        <f>IF(E101="Oui",Paramètres!$C$4,0)</f>
        <v>1000</v>
      </c>
      <c r="G101" s="26">
        <f>IF(B101="","",SUMIF(Paiements!$B$3:$B$506,B101,Paiements!$C$3:$C$506))</f>
        <v>19000</v>
      </c>
      <c r="H101" s="27" t="str">
        <f>IF(B101="","",IF(G101&gt;=Paramètres!$C$5,"À déclarer","—"))</f>
        <v>À déclarer</v>
      </c>
      <c r="I101" s="24"/>
    </row>
    <row r="102" spans="1:9" x14ac:dyDescent="0.25">
      <c r="A102" s="22">
        <f t="shared" si="3"/>
        <v>100</v>
      </c>
      <c r="B102" s="23" t="s">
        <v>227</v>
      </c>
      <c r="C102" s="23"/>
      <c r="D102" s="24">
        <v>46199</v>
      </c>
      <c r="E102" s="25" t="s">
        <v>35</v>
      </c>
      <c r="F102" s="26">
        <f>IF(E102="Oui",Paramètres!$C$4,0)</f>
        <v>1000</v>
      </c>
      <c r="G102" s="26">
        <f>IF(B102="","",SUMIF(Paiements!$B$3:$B$506,B102,Paiements!$C$3:$C$506))</f>
        <v>0</v>
      </c>
      <c r="H102" s="27" t="str">
        <f>IF(B102="","",IF(G102&gt;=Paramètres!$C$5,"À déclarer","—"))</f>
        <v>—</v>
      </c>
      <c r="I102" s="24"/>
    </row>
    <row r="103" spans="1:9" x14ac:dyDescent="0.25">
      <c r="A103" s="22">
        <f t="shared" si="3"/>
        <v>101</v>
      </c>
      <c r="B103" s="23" t="s">
        <v>147</v>
      </c>
      <c r="C103" s="23"/>
      <c r="D103" s="24">
        <v>46199</v>
      </c>
      <c r="E103" s="25" t="s">
        <v>35</v>
      </c>
      <c r="F103" s="26">
        <f>IF(E103="Oui",Paramètres!$C$4,0)</f>
        <v>1000</v>
      </c>
      <c r="G103" s="26">
        <f>IF(B103="","",SUMIF(Paiements!$B$3:$B$506,B103,Paiements!$C$3:$C$506))</f>
        <v>0</v>
      </c>
      <c r="H103" s="27" t="str">
        <f>IF(B103="","",IF(G103&gt;=Paramètres!$C$5,"À déclarer","—"))</f>
        <v>—</v>
      </c>
      <c r="I103" s="24"/>
    </row>
    <row r="104" spans="1:9" x14ac:dyDescent="0.25">
      <c r="A104" s="22">
        <f t="shared" si="3"/>
        <v>102</v>
      </c>
      <c r="B104" s="23" t="s">
        <v>148</v>
      </c>
      <c r="C104" s="23"/>
      <c r="D104" s="24">
        <v>46199</v>
      </c>
      <c r="E104" s="25" t="s">
        <v>35</v>
      </c>
      <c r="F104" s="26">
        <f>IF(E104="Oui",Paramètres!$C$4,0)</f>
        <v>1000</v>
      </c>
      <c r="G104" s="26">
        <f>IF(B104="","",SUMIF(Paiements!$B$3:$B$506,B104,Paiements!$C$3:$C$506))</f>
        <v>21000</v>
      </c>
      <c r="H104" s="27" t="str">
        <f>IF(B104="","",IF(G104&gt;=Paramètres!$C$5,"À déclarer","—"))</f>
        <v>À déclarer</v>
      </c>
      <c r="I104" s="24">
        <v>46231</v>
      </c>
    </row>
    <row r="105" spans="1:9" x14ac:dyDescent="0.25">
      <c r="A105" s="22">
        <f t="shared" si="3"/>
        <v>103</v>
      </c>
      <c r="B105" s="23" t="s">
        <v>149</v>
      </c>
      <c r="C105" s="23">
        <v>671499419</v>
      </c>
      <c r="D105" s="24">
        <v>46199</v>
      </c>
      <c r="E105" s="25" t="s">
        <v>35</v>
      </c>
      <c r="F105" s="26">
        <f>IF(E105="Oui",Paramètres!$C$4,0)</f>
        <v>1000</v>
      </c>
      <c r="G105" s="26">
        <f>IF(B105="","",SUMIF(Paiements!$B$3:$B$506,B105,Paiements!$C$3:$C$506))</f>
        <v>2000</v>
      </c>
      <c r="H105" s="27" t="str">
        <f>IF(B105="","",IF(G105&gt;=Paramètres!$C$5,"À déclarer","—"))</f>
        <v>—</v>
      </c>
      <c r="I105" s="24"/>
    </row>
    <row r="106" spans="1:9" x14ac:dyDescent="0.25">
      <c r="A106" s="36">
        <f t="shared" si="3"/>
        <v>104</v>
      </c>
      <c r="B106" s="37" t="s">
        <v>150</v>
      </c>
      <c r="C106" s="37"/>
      <c r="D106" s="38">
        <v>46202</v>
      </c>
      <c r="E106" s="39" t="s">
        <v>35</v>
      </c>
      <c r="F106" s="40">
        <f>IF(E106="Oui",Paramètres!$C$4,0)</f>
        <v>1000</v>
      </c>
      <c r="G106" s="40">
        <f>IF(B106="","",SUMIF(Paiements!$B$3:$B$506,B106,Paiements!$C$3:$C$506))</f>
        <v>0</v>
      </c>
      <c r="H106" s="27" t="str">
        <f>IF(B106="","",IF(G106&gt;=Paramètres!$C$5,"À déclarer","—"))</f>
        <v>—</v>
      </c>
      <c r="I106" s="24"/>
    </row>
    <row r="107" spans="1:9" x14ac:dyDescent="0.25">
      <c r="A107" s="22">
        <f t="shared" si="3"/>
        <v>105</v>
      </c>
      <c r="B107" s="23" t="s">
        <v>151</v>
      </c>
      <c r="C107" s="23"/>
      <c r="D107" s="24">
        <v>46202</v>
      </c>
      <c r="E107" s="25" t="s">
        <v>35</v>
      </c>
      <c r="F107" s="26">
        <f>IF(E107="Oui",Paramètres!$C$4,0)</f>
        <v>1000</v>
      </c>
      <c r="G107" s="26">
        <f>IF(B107="","",SUMIF(Paiements!$B$3:$B$506,B107,Paiements!$C$3:$C$506))</f>
        <v>0</v>
      </c>
      <c r="H107" s="27" t="str">
        <f>IF(B107="","",IF(G107&gt;=Paramètres!$C$5,"À déclarer","—"))</f>
        <v>—</v>
      </c>
      <c r="I107" s="24"/>
    </row>
    <row r="108" spans="1:9" x14ac:dyDescent="0.25">
      <c r="A108" s="43">
        <f t="shared" si="3"/>
        <v>106</v>
      </c>
      <c r="B108" s="44" t="s">
        <v>152</v>
      </c>
      <c r="C108" s="44"/>
      <c r="D108" s="45">
        <v>46203</v>
      </c>
      <c r="E108" s="46" t="s">
        <v>35</v>
      </c>
      <c r="F108" s="47">
        <f>IF(E108="Oui",Paramètres!$C$4,0)</f>
        <v>1000</v>
      </c>
      <c r="G108" s="26">
        <f>IF(B108="","",SUMIF(Paiements!$B$3:$B$506,B108,Paiements!$C$3:$C$506))</f>
        <v>0</v>
      </c>
      <c r="H108" s="48" t="str">
        <f>IF(B108="","",IF(G108&gt;=Paramètres!$C$5,"À déclarer","—"))</f>
        <v>—</v>
      </c>
      <c r="I108" s="24"/>
    </row>
    <row r="109" spans="1:9" x14ac:dyDescent="0.25">
      <c r="A109" s="22">
        <f t="shared" si="3"/>
        <v>107</v>
      </c>
      <c r="B109" s="23" t="s">
        <v>153</v>
      </c>
      <c r="C109" s="23">
        <v>674947338</v>
      </c>
      <c r="D109" s="24">
        <v>46203</v>
      </c>
      <c r="E109" s="25" t="s">
        <v>35</v>
      </c>
      <c r="F109" s="26">
        <f>IF(E109="Oui",Paramètres!$C$4,0)</f>
        <v>1000</v>
      </c>
      <c r="G109" s="26">
        <f>IF(B109="","",SUMIF(Paiements!$B$3:$B$506,B109,Paiements!$C$3:$C$506))</f>
        <v>5000</v>
      </c>
      <c r="H109" s="27" t="str">
        <f>IF(B109="","",IF(G109&gt;=Paramètres!$C$5,"À déclarer","—"))</f>
        <v>—</v>
      </c>
      <c r="I109" s="24"/>
    </row>
    <row r="110" spans="1:9" x14ac:dyDescent="0.25">
      <c r="A110" s="22">
        <f t="shared" si="3"/>
        <v>108</v>
      </c>
      <c r="B110" s="23" t="s">
        <v>154</v>
      </c>
      <c r="C110" s="23"/>
      <c r="D110" s="24">
        <v>46203</v>
      </c>
      <c r="E110" s="25" t="s">
        <v>35</v>
      </c>
      <c r="F110" s="26">
        <f>IF(E110="Oui",Paramètres!$C$4,0)</f>
        <v>1000</v>
      </c>
      <c r="G110" s="26">
        <f>IF(B110="","",SUMIF(Paiements!$B$3:$B$506,B110,Paiements!$C$3:$C$506))</f>
        <v>0</v>
      </c>
      <c r="H110" s="27" t="str">
        <f>IF(B110="","",IF(G110&gt;=Paramètres!$C$5,"À déclarer","—"))</f>
        <v>—</v>
      </c>
      <c r="I110" s="24"/>
    </row>
    <row r="111" spans="1:9" x14ac:dyDescent="0.25">
      <c r="A111" s="36">
        <f t="shared" si="3"/>
        <v>109</v>
      </c>
      <c r="B111" s="37" t="s">
        <v>155</v>
      </c>
      <c r="C111" s="37"/>
      <c r="D111" s="38">
        <v>46203</v>
      </c>
      <c r="E111" s="39" t="s">
        <v>35</v>
      </c>
      <c r="F111" s="40">
        <f>IF(E111="Oui",Paramètres!$C$4,0)</f>
        <v>1000</v>
      </c>
      <c r="G111" s="40">
        <f>IF(B111="","",SUMIF(Paiements!$B$3:$B$506,B111,Paiements!$C$3:$C$506))</f>
        <v>0</v>
      </c>
      <c r="H111" s="27" t="str">
        <f>IF(B111="","",IF(G111&gt;=Paramètres!$C$5,"À déclarer","—"))</f>
        <v>—</v>
      </c>
      <c r="I111" s="24"/>
    </row>
    <row r="112" spans="1:9" x14ac:dyDescent="0.25">
      <c r="A112" s="49">
        <v>110</v>
      </c>
      <c r="B112" s="43" t="s">
        <v>233</v>
      </c>
      <c r="C112" s="44"/>
      <c r="D112" s="45">
        <v>46204</v>
      </c>
      <c r="E112" s="46" t="s">
        <v>35</v>
      </c>
      <c r="F112" s="47">
        <f>IF(E112="Oui",Paramètres!$C$4,0)</f>
        <v>1000</v>
      </c>
      <c r="G112" s="26">
        <f>IF(B112="","",SUMIF(Paiements!$B$3:$B$506,B112,Paiements!$C$3:$C$506))</f>
        <v>0</v>
      </c>
      <c r="H112" s="48" t="str">
        <f>IF(C112="","",IF(G112&gt;=Paramètres!$C$5,"À déclarer","—"))</f>
        <v/>
      </c>
      <c r="I112" s="24"/>
    </row>
    <row r="113" spans="1:11" x14ac:dyDescent="0.25">
      <c r="A113" s="43">
        <f t="shared" si="3"/>
        <v>111</v>
      </c>
      <c r="B113" s="44" t="s">
        <v>156</v>
      </c>
      <c r="C113" s="44"/>
      <c r="D113" s="45">
        <v>46204</v>
      </c>
      <c r="E113" s="46" t="s">
        <v>35</v>
      </c>
      <c r="F113" s="47">
        <f>IF(E113="Oui",Paramètres!$C$4,0)</f>
        <v>1000</v>
      </c>
      <c r="G113" s="26">
        <f>IF(B113="","",SUMIF(Paiements!$B$3:$B$506,B113,Paiements!$C$3:$C$506))</f>
        <v>0</v>
      </c>
      <c r="H113" s="48" t="str">
        <f>IF(B113="","",IF(G113&gt;=Paramètres!$C$5,"À déclarer","—"))</f>
        <v>—</v>
      </c>
      <c r="I113" s="24"/>
    </row>
    <row r="114" spans="1:11" x14ac:dyDescent="0.25">
      <c r="A114" s="22">
        <f t="shared" si="3"/>
        <v>112</v>
      </c>
      <c r="B114" s="23" t="s">
        <v>157</v>
      </c>
      <c r="C114" s="23"/>
      <c r="D114" s="24">
        <v>46204</v>
      </c>
      <c r="E114" s="25" t="s">
        <v>35</v>
      </c>
      <c r="F114" s="26">
        <f>IF(E114="Oui",Paramètres!$C$4,0)</f>
        <v>1000</v>
      </c>
      <c r="G114" s="26">
        <f>IF(B114="","",SUMIF(Paiements!$B$3:$B$506,B114,Paiements!$C$3:$C$506))</f>
        <v>0</v>
      </c>
      <c r="H114" s="27" t="str">
        <f>IF(B114="","",IF(G114&gt;=Paramètres!$C$5,"À déclarer","—"))</f>
        <v>—</v>
      </c>
      <c r="I114" s="24"/>
    </row>
    <row r="115" spans="1:11" s="42" customFormat="1" x14ac:dyDescent="0.25">
      <c r="A115" s="36">
        <f t="shared" si="3"/>
        <v>113</v>
      </c>
      <c r="B115" s="37" t="s">
        <v>158</v>
      </c>
      <c r="C115" s="37"/>
      <c r="D115" s="38">
        <v>46204</v>
      </c>
      <c r="E115" s="39" t="s">
        <v>35</v>
      </c>
      <c r="F115" s="40">
        <f>IF(E115="Oui",Paramètres!$C$4,0)</f>
        <v>1000</v>
      </c>
      <c r="G115" s="26">
        <f>IF(B115="","",SUMIF(Paiements!$B$3:$B$506,B115,Paiements!$C$3:$C$506))</f>
        <v>0</v>
      </c>
      <c r="H115" s="41" t="str">
        <f>IF(B115="","",IF(G115&gt;=Paramètres!$C$5,"À déclarer","—"))</f>
        <v>—</v>
      </c>
      <c r="I115" s="38"/>
    </row>
    <row r="116" spans="1:11" s="42" customFormat="1" x14ac:dyDescent="0.25">
      <c r="A116" s="36">
        <f t="shared" si="3"/>
        <v>114</v>
      </c>
      <c r="B116" s="37" t="s">
        <v>159</v>
      </c>
      <c r="C116" s="37"/>
      <c r="D116" s="38">
        <v>46204</v>
      </c>
      <c r="E116" s="39" t="s">
        <v>35</v>
      </c>
      <c r="F116" s="40">
        <f>IF(E116="Oui",Paramètres!$C$4,0)</f>
        <v>1000</v>
      </c>
      <c r="G116" s="26">
        <f>IF(B116="","",SUMIF(Paiements!$B$3:$B$506,B116,Paiements!$C$3:$C$506))</f>
        <v>0</v>
      </c>
      <c r="H116" s="41" t="str">
        <f>IF(B116="","",IF(G116&gt;=Paramètres!$C$5,"À déclarer","—"))</f>
        <v>—</v>
      </c>
      <c r="I116" s="38"/>
    </row>
    <row r="117" spans="1:11" x14ac:dyDescent="0.25">
      <c r="A117" s="22">
        <f t="shared" si="3"/>
        <v>115</v>
      </c>
      <c r="B117" s="23" t="s">
        <v>160</v>
      </c>
      <c r="C117" s="23"/>
      <c r="D117" s="24">
        <v>46204</v>
      </c>
      <c r="E117" s="25" t="s">
        <v>35</v>
      </c>
      <c r="F117" s="26">
        <f>IF(E117="Oui",Paramètres!$C$4,0)</f>
        <v>1000</v>
      </c>
      <c r="G117" s="26">
        <f>IF(B117="","",SUMIF(Paiements!$B$3:$B$506,B117,Paiements!$C$3:$C$506))</f>
        <v>0</v>
      </c>
      <c r="H117" s="27" t="str">
        <f>IF(B117="","",IF(G117&gt;=Paramètres!$C$5,"À déclarer","—"))</f>
        <v>—</v>
      </c>
      <c r="I117" s="24"/>
    </row>
    <row r="118" spans="1:11" x14ac:dyDescent="0.25">
      <c r="A118" s="22">
        <f t="shared" si="3"/>
        <v>116</v>
      </c>
      <c r="B118" s="23" t="s">
        <v>161</v>
      </c>
      <c r="C118" s="23"/>
      <c r="D118" s="24">
        <v>46176</v>
      </c>
      <c r="E118" s="25" t="s">
        <v>35</v>
      </c>
      <c r="F118" s="26">
        <f>IF(E118="Oui",Paramètres!$C$4,0)</f>
        <v>1000</v>
      </c>
      <c r="G118" s="26">
        <f>IF(B118="","",SUMIF(Paiements!$B$3:$B$506,B118,Paiements!$C$3:$C$506))</f>
        <v>0</v>
      </c>
      <c r="H118" s="27" t="str">
        <f>IF(B118="","",IF(G118&gt;=Paramètres!$C$5,"À déclarer","—"))</f>
        <v>—</v>
      </c>
      <c r="I118" s="24"/>
    </row>
    <row r="119" spans="1:11" x14ac:dyDescent="0.25">
      <c r="A119" s="22">
        <f t="shared" si="3"/>
        <v>117</v>
      </c>
      <c r="B119" s="23" t="s">
        <v>162</v>
      </c>
      <c r="C119" s="23"/>
      <c r="D119" s="24">
        <v>46206</v>
      </c>
      <c r="E119" s="25" t="s">
        <v>35</v>
      </c>
      <c r="F119" s="26">
        <f>IF(E119="Oui",Paramètres!$C$4,0)</f>
        <v>1000</v>
      </c>
      <c r="G119" s="26">
        <f>IF(B119="","",SUMIF(Paiements!$B$3:$B$506,B119,Paiements!$C$3:$C$506))</f>
        <v>0</v>
      </c>
      <c r="H119" s="27" t="str">
        <f>IF(B119="","",IF(G119&gt;=Paramètres!$C$5,"À déclarer","—"))</f>
        <v>—</v>
      </c>
      <c r="I119" s="24"/>
      <c r="J119" t="s">
        <v>234</v>
      </c>
    </row>
    <row r="120" spans="1:11" s="42" customFormat="1" x14ac:dyDescent="0.25">
      <c r="A120" s="36">
        <f t="shared" si="3"/>
        <v>118</v>
      </c>
      <c r="B120" s="37" t="s">
        <v>163</v>
      </c>
      <c r="C120" s="37"/>
      <c r="D120" s="38">
        <v>46087</v>
      </c>
      <c r="E120" s="39" t="s">
        <v>35</v>
      </c>
      <c r="F120" s="40">
        <f>IF(E120="Oui",Paramètres!$C$4,0)</f>
        <v>1000</v>
      </c>
      <c r="G120" s="26">
        <f>IF(B120="","",SUMIF(Paiements!$B$3:$B$506,B120,Paiements!$C$3:$C$506))</f>
        <v>0</v>
      </c>
      <c r="H120" s="41" t="str">
        <f>IF(B120="","",IF(G120&gt;=Paramètres!$C$5,"À déclarer","—"))</f>
        <v>—</v>
      </c>
      <c r="I120" s="38"/>
    </row>
    <row r="121" spans="1:11" x14ac:dyDescent="0.25">
      <c r="A121" s="22">
        <f t="shared" si="3"/>
        <v>119</v>
      </c>
      <c r="B121" s="23" t="s">
        <v>143</v>
      </c>
      <c r="C121" s="23"/>
      <c r="D121" s="24">
        <v>46217</v>
      </c>
      <c r="E121" s="25" t="s">
        <v>35</v>
      </c>
      <c r="F121" s="26">
        <f>IF(E121="Oui",Paramètres!$C$4,0)</f>
        <v>1000</v>
      </c>
      <c r="G121" s="26">
        <f>IF(B121="","",SUMIF(Paiements!$B$3:$B$506,B121,Paiements!$C$3:$C$506))</f>
        <v>0</v>
      </c>
      <c r="H121" s="27" t="str">
        <f>IF(B121="","",IF(G121&gt;=Paramètres!$C$5,"À déclarer","—"))</f>
        <v>—</v>
      </c>
      <c r="I121" s="24"/>
    </row>
    <row r="122" spans="1:11" x14ac:dyDescent="0.25">
      <c r="A122" s="36">
        <f t="shared" si="3"/>
        <v>120</v>
      </c>
      <c r="B122" s="37" t="s">
        <v>164</v>
      </c>
      <c r="C122" s="37"/>
      <c r="D122" s="38">
        <v>46217</v>
      </c>
      <c r="E122" s="39" t="s">
        <v>35</v>
      </c>
      <c r="F122" s="40">
        <f>IF(E122="Oui",Paramètres!$C$4,0)</f>
        <v>1000</v>
      </c>
      <c r="G122" s="40">
        <f>IF(B122="","",SUMIF(Paiements!$B$3:$B$506,B122,Paiements!$C$3:$C$506))</f>
        <v>0</v>
      </c>
      <c r="H122" s="27" t="str">
        <f>IF(B122="","",IF(G122&gt;=Paramètres!$C$5,"À déclarer","—"))</f>
        <v>—</v>
      </c>
      <c r="I122" s="24"/>
    </row>
    <row r="123" spans="1:11" x14ac:dyDescent="0.25">
      <c r="A123" s="36">
        <f t="shared" si="3"/>
        <v>121</v>
      </c>
      <c r="B123" s="37" t="s">
        <v>165</v>
      </c>
      <c r="C123" s="37"/>
      <c r="D123" s="38">
        <v>46217</v>
      </c>
      <c r="E123" s="39" t="s">
        <v>35</v>
      </c>
      <c r="F123" s="40">
        <f>IF(E123="Oui",Paramètres!$C$4,0)</f>
        <v>1000</v>
      </c>
      <c r="G123" s="40">
        <f>IF(B123="","",SUMIF(Paiements!$B$3:$B$506,B123,Paiements!$C$3:$C$506))</f>
        <v>0</v>
      </c>
      <c r="H123" s="27" t="str">
        <f>IF(B123="","",IF(G123&gt;=Paramètres!$C$5,"À déclarer","—"))</f>
        <v>—</v>
      </c>
      <c r="I123" s="24"/>
    </row>
    <row r="124" spans="1:11" x14ac:dyDescent="0.25">
      <c r="A124" s="22">
        <f t="shared" si="3"/>
        <v>122</v>
      </c>
      <c r="B124" s="23" t="s">
        <v>166</v>
      </c>
      <c r="C124" s="23"/>
      <c r="D124" s="24">
        <v>46217</v>
      </c>
      <c r="E124" s="25" t="s">
        <v>35</v>
      </c>
      <c r="F124" s="26">
        <f>IF(E124="Oui",Paramètres!$C$4,0)</f>
        <v>1000</v>
      </c>
      <c r="G124" s="26">
        <f>IF(B124="","",SUMIF(Paiements!$B$3:$B$506,B124,Paiements!$C$3:$C$506))</f>
        <v>0</v>
      </c>
      <c r="H124" s="27" t="str">
        <f>IF(B124="","",IF(G124&gt;=Paramètres!$C$5,"À déclarer","—"))</f>
        <v>—</v>
      </c>
      <c r="I124" s="24"/>
    </row>
    <row r="125" spans="1:11" x14ac:dyDescent="0.25">
      <c r="A125" s="36">
        <f t="shared" si="3"/>
        <v>123</v>
      </c>
      <c r="B125" s="37" t="s">
        <v>167</v>
      </c>
      <c r="C125" s="37"/>
      <c r="D125" s="38">
        <v>46217</v>
      </c>
      <c r="E125" s="39" t="s">
        <v>35</v>
      </c>
      <c r="F125" s="40">
        <f>IF(E125="Oui",Paramètres!$C$4,0)</f>
        <v>1000</v>
      </c>
      <c r="G125" s="40">
        <f>IF(B125="","",SUMIF(Paiements!$B$3:$B$506,B125,Paiements!$C$3:$C$506))</f>
        <v>0</v>
      </c>
      <c r="H125" s="27" t="str">
        <f>IF(B125="","",IF(G125&gt;=Paramètres!$C$5,"À déclarer","—"))</f>
        <v>—</v>
      </c>
      <c r="I125" s="24"/>
    </row>
    <row r="126" spans="1:11" x14ac:dyDescent="0.25">
      <c r="A126" s="22">
        <f t="shared" si="3"/>
        <v>124</v>
      </c>
      <c r="B126" s="23" t="s">
        <v>168</v>
      </c>
      <c r="C126" s="23"/>
      <c r="D126" s="24">
        <v>46218</v>
      </c>
      <c r="E126" s="25" t="s">
        <v>35</v>
      </c>
      <c r="F126" s="26">
        <f>IF(E126="Oui",Paramètres!$C$4,0)</f>
        <v>1000</v>
      </c>
      <c r="G126" s="26">
        <f>IF(B126="","",SUMIF(Paiements!$B$3:$B$506,B126,Paiements!$C$3:$C$506))</f>
        <v>0</v>
      </c>
      <c r="H126" s="27" t="str">
        <f>IF(B126="","",IF(G126&gt;=Paramètres!$C$5,"À déclarer","—"))</f>
        <v>—</v>
      </c>
      <c r="I126" s="24"/>
      <c r="K126" t="s">
        <v>222</v>
      </c>
    </row>
    <row r="127" spans="1:11" x14ac:dyDescent="0.25">
      <c r="A127" s="22">
        <f t="shared" si="3"/>
        <v>125</v>
      </c>
      <c r="B127" s="23" t="s">
        <v>169</v>
      </c>
      <c r="C127" s="23">
        <v>674384264</v>
      </c>
      <c r="D127" s="24">
        <v>46218</v>
      </c>
      <c r="E127" s="25" t="s">
        <v>35</v>
      </c>
      <c r="F127" s="26">
        <f>IF(E127="Oui",Paramètres!$C$4,0)</f>
        <v>1000</v>
      </c>
      <c r="G127" s="26">
        <f>IF(B127="","",SUMIF(Paiements!$B$3:$B$506,B127,Paiements!$C$3:$C$506))</f>
        <v>3000</v>
      </c>
      <c r="H127" s="27" t="str">
        <f>IF(B127="","",IF(G127&gt;=Paramètres!$C$5,"À déclarer","—"))</f>
        <v>—</v>
      </c>
      <c r="I127" s="24"/>
    </row>
    <row r="128" spans="1:11" x14ac:dyDescent="0.25">
      <c r="A128" s="22">
        <f t="shared" si="3"/>
        <v>126</v>
      </c>
      <c r="B128" s="23" t="s">
        <v>170</v>
      </c>
      <c r="C128" s="23"/>
      <c r="D128" s="24">
        <v>46218</v>
      </c>
      <c r="E128" s="25" t="s">
        <v>35</v>
      </c>
      <c r="F128" s="26">
        <f>IF(E128="Oui",Paramètres!$C$4,0)</f>
        <v>1000</v>
      </c>
      <c r="G128" s="26">
        <f>IF(B128="","",SUMIF(Paiements!$B$3:$B$506,B128,Paiements!$C$3:$C$506))</f>
        <v>0</v>
      </c>
      <c r="H128" s="27" t="str">
        <f>IF(B128="","",IF(G128&gt;=Paramètres!$C$5,"À déclarer","—"))</f>
        <v>—</v>
      </c>
      <c r="I128" s="24"/>
    </row>
    <row r="129" spans="1:9" x14ac:dyDescent="0.25">
      <c r="A129" s="36">
        <f t="shared" si="3"/>
        <v>127</v>
      </c>
      <c r="B129" s="37" t="s">
        <v>171</v>
      </c>
      <c r="C129" s="37"/>
      <c r="D129" s="38">
        <v>46218</v>
      </c>
      <c r="E129" s="39" t="s">
        <v>35</v>
      </c>
      <c r="F129" s="40">
        <f>IF(E129="Oui",Paramètres!$C$4,0)</f>
        <v>1000</v>
      </c>
      <c r="G129" s="40">
        <f>IF(B129="","",SUMIF(Paiements!$B$3:$B$506,B129,Paiements!$C$3:$C$506))</f>
        <v>0</v>
      </c>
      <c r="H129" s="27" t="str">
        <f>IF(B129="","",IF(G129&gt;=Paramètres!$C$5,"À déclarer","—"))</f>
        <v>—</v>
      </c>
      <c r="I129" s="24"/>
    </row>
    <row r="130" spans="1:9" x14ac:dyDescent="0.25">
      <c r="A130" s="22">
        <f t="shared" si="3"/>
        <v>128</v>
      </c>
      <c r="B130" s="23" t="s">
        <v>172</v>
      </c>
      <c r="C130" s="23"/>
      <c r="D130" s="24">
        <v>46218</v>
      </c>
      <c r="E130" s="25" t="s">
        <v>35</v>
      </c>
      <c r="F130" s="26">
        <f>IF(E130="Oui",Paramètres!$C$4,0)</f>
        <v>1000</v>
      </c>
      <c r="G130" s="26">
        <f>IF(B130="","",SUMIF(Paiements!$B$3:$B$506,B130,Paiements!$C$3:$C$506))</f>
        <v>0</v>
      </c>
      <c r="H130" s="27" t="str">
        <f>IF(B130="","",IF(G130&gt;=Paramètres!$C$5,"À déclarer","—"))</f>
        <v>—</v>
      </c>
      <c r="I130" s="24"/>
    </row>
    <row r="131" spans="1:9" x14ac:dyDescent="0.25">
      <c r="A131" s="36">
        <f t="shared" ref="A131:A159" si="4">IF(B131="","",ROW()-2)</f>
        <v>129</v>
      </c>
      <c r="B131" s="37" t="s">
        <v>173</v>
      </c>
      <c r="C131" s="37"/>
      <c r="D131" s="38">
        <v>46218</v>
      </c>
      <c r="E131" s="39" t="s">
        <v>35</v>
      </c>
      <c r="F131" s="40">
        <f>IF(E131="Oui",Paramètres!$C$4,0)</f>
        <v>1000</v>
      </c>
      <c r="G131" s="40">
        <f>IF(B131="","",SUMIF(Paiements!$B$3:$B$506,B131,Paiements!$C$3:$C$506))</f>
        <v>0</v>
      </c>
      <c r="H131" s="27" t="str">
        <f>IF(B131="","",IF(G131&gt;=Paramètres!$C$5,"À déclarer","—"))</f>
        <v>—</v>
      </c>
      <c r="I131" s="24"/>
    </row>
    <row r="132" spans="1:9" x14ac:dyDescent="0.25">
      <c r="A132" s="36">
        <f t="shared" si="4"/>
        <v>130</v>
      </c>
      <c r="B132" s="37" t="s">
        <v>174</v>
      </c>
      <c r="C132" s="37"/>
      <c r="D132" s="38">
        <v>46218</v>
      </c>
      <c r="E132" s="39" t="s">
        <v>35</v>
      </c>
      <c r="F132" s="40">
        <f>IF(E132="Oui",Paramètres!$C$4,0)</f>
        <v>1000</v>
      </c>
      <c r="G132" s="26">
        <f>IF(B132="","",SUMIF(Paiements!$B$3:$B$506,B132,Paiements!$C$3:$C$506))</f>
        <v>0</v>
      </c>
      <c r="H132" s="27" t="str">
        <f>IF(B132="","",IF(G132&gt;=Paramètres!$C$5,"À déclarer","—"))</f>
        <v>—</v>
      </c>
      <c r="I132" s="24"/>
    </row>
    <row r="133" spans="1:9" x14ac:dyDescent="0.25">
      <c r="A133" s="22">
        <f t="shared" si="4"/>
        <v>131</v>
      </c>
      <c r="B133" s="23" t="s">
        <v>200</v>
      </c>
      <c r="C133" s="23"/>
      <c r="D133" s="24">
        <v>46218</v>
      </c>
      <c r="E133" s="25" t="s">
        <v>35</v>
      </c>
      <c r="F133" s="26">
        <f>IF(E133="Oui",Paramètres!$C$4,0)</f>
        <v>1000</v>
      </c>
      <c r="G133" s="26">
        <f>IF(B133="","",SUMIF(Paiements!$B$3:$B$506,B133,Paiements!$C$3:$C$506))</f>
        <v>48000</v>
      </c>
      <c r="H133" s="27" t="str">
        <f>IF(B133="","",IF(G133&gt;=Paramètres!$C$5,"À déclarer","—"))</f>
        <v>À déclarer</v>
      </c>
      <c r="I133" s="24">
        <v>46231</v>
      </c>
    </row>
    <row r="134" spans="1:9" x14ac:dyDescent="0.25">
      <c r="A134" s="36">
        <f t="shared" si="4"/>
        <v>132</v>
      </c>
      <c r="B134" s="37" t="s">
        <v>175</v>
      </c>
      <c r="C134" s="37"/>
      <c r="D134" s="38">
        <v>46218</v>
      </c>
      <c r="E134" s="39" t="s">
        <v>35</v>
      </c>
      <c r="F134" s="40">
        <f>IF(E134="Oui",Paramètres!$C$4,0)</f>
        <v>1000</v>
      </c>
      <c r="G134" s="40">
        <f>IF(B134="","",SUMIF(Paiements!$B$3:$B$506,B134,Paiements!$C$3:$C$506))</f>
        <v>0</v>
      </c>
      <c r="H134" s="27" t="str">
        <f>IF(B134="","",IF(G134&gt;=Paramètres!$C$5,"À déclarer","—"))</f>
        <v>—</v>
      </c>
      <c r="I134" s="24"/>
    </row>
    <row r="135" spans="1:9" x14ac:dyDescent="0.25">
      <c r="A135" s="22">
        <f t="shared" si="4"/>
        <v>133</v>
      </c>
      <c r="B135" s="23" t="s">
        <v>176</v>
      </c>
      <c r="C135" s="23"/>
      <c r="D135" s="24">
        <v>46218</v>
      </c>
      <c r="E135" s="25" t="s">
        <v>35</v>
      </c>
      <c r="F135" s="26">
        <f>IF(E135="Oui",Paramètres!$C$4,0)</f>
        <v>1000</v>
      </c>
      <c r="G135" s="26">
        <f>IF(B135="","",SUMIF(Paiements!$B$3:$B$506,B135,Paiements!$C$3:$C$506))</f>
        <v>0</v>
      </c>
      <c r="H135" s="27" t="str">
        <f>IF(B135="","",IF(G135&gt;=Paramètres!$C$5,"À déclarer","—"))</f>
        <v>—</v>
      </c>
      <c r="I135" s="24"/>
    </row>
    <row r="136" spans="1:9" x14ac:dyDescent="0.25">
      <c r="A136" s="22">
        <f t="shared" si="4"/>
        <v>134</v>
      </c>
      <c r="B136" s="23" t="s">
        <v>177</v>
      </c>
      <c r="C136" s="23"/>
      <c r="D136" s="24">
        <v>46218</v>
      </c>
      <c r="E136" s="25" t="s">
        <v>35</v>
      </c>
      <c r="F136" s="26">
        <f>IF(E136="Oui",Paramètres!$C$4,0)</f>
        <v>1000</v>
      </c>
      <c r="G136" s="26">
        <f>IF(B136="","",SUMIF(Paiements!$B$3:$B$506,B136,Paiements!$C$3:$C$506))</f>
        <v>0</v>
      </c>
      <c r="H136" s="27" t="str">
        <f>IF(B136="","",IF(G136&gt;=Paramètres!$C$5,"À déclarer","—"))</f>
        <v>—</v>
      </c>
      <c r="I136" s="24"/>
    </row>
    <row r="137" spans="1:9" x14ac:dyDescent="0.25">
      <c r="A137" s="36">
        <f t="shared" si="4"/>
        <v>135</v>
      </c>
      <c r="B137" s="37" t="s">
        <v>178</v>
      </c>
      <c r="C137" s="37"/>
      <c r="D137" s="38">
        <v>46218</v>
      </c>
      <c r="E137" s="39" t="s">
        <v>35</v>
      </c>
      <c r="F137" s="40">
        <f>IF(E137="Oui",Paramètres!$C$4,0)</f>
        <v>1000</v>
      </c>
      <c r="G137" s="40">
        <f>IF(B137="","",SUMIF(Paiements!$B$3:$B$506,B137,Paiements!$C$3:$C$506))</f>
        <v>0</v>
      </c>
      <c r="H137" s="27" t="str">
        <f>IF(B137="","",IF(G137&gt;=Paramètres!$C$5,"À déclarer","—"))</f>
        <v>—</v>
      </c>
      <c r="I137" s="24"/>
    </row>
    <row r="138" spans="1:9" x14ac:dyDescent="0.25">
      <c r="A138" s="22">
        <f t="shared" si="4"/>
        <v>136</v>
      </c>
      <c r="B138" s="23" t="s">
        <v>179</v>
      </c>
      <c r="C138" s="23"/>
      <c r="D138" s="24">
        <v>46220</v>
      </c>
      <c r="E138" s="25" t="s">
        <v>35</v>
      </c>
      <c r="F138" s="26">
        <f>IF(E138="Oui",Paramètres!$C$4,0)</f>
        <v>1000</v>
      </c>
      <c r="G138" s="26">
        <f>IF(B138="","",SUMIF(Paiements!$B$3:$B$506,B138,Paiements!$C$3:$C$506))</f>
        <v>0</v>
      </c>
      <c r="H138" s="27" t="str">
        <f>IF(B138="","",IF(G138&gt;=Paramètres!$C$5,"À déclarer","—"))</f>
        <v>—</v>
      </c>
      <c r="I138" s="24"/>
    </row>
    <row r="139" spans="1:9" x14ac:dyDescent="0.25">
      <c r="A139" s="22">
        <f t="shared" si="4"/>
        <v>137</v>
      </c>
      <c r="B139" s="23" t="s">
        <v>180</v>
      </c>
      <c r="C139" s="23"/>
      <c r="D139" s="24">
        <v>46220</v>
      </c>
      <c r="E139" s="25" t="s">
        <v>35</v>
      </c>
      <c r="F139" s="26">
        <f>IF(E139="Oui",Paramètres!$C$4,0)</f>
        <v>1000</v>
      </c>
      <c r="G139" s="26">
        <f>IF(B139="","",SUMIF(Paiements!$B$3:$B$506,B139,Paiements!$C$3:$C$506))</f>
        <v>0</v>
      </c>
      <c r="H139" s="27" t="str">
        <f>IF(B139="","",IF(G139&gt;=Paramètres!$C$5,"À déclarer","—"))</f>
        <v>—</v>
      </c>
      <c r="I139" s="24"/>
    </row>
    <row r="140" spans="1:9" x14ac:dyDescent="0.25">
      <c r="A140" s="43">
        <f t="shared" si="4"/>
        <v>138</v>
      </c>
      <c r="B140" s="44" t="s">
        <v>181</v>
      </c>
      <c r="C140" s="44"/>
      <c r="D140" s="45">
        <v>46220</v>
      </c>
      <c r="E140" s="46" t="s">
        <v>35</v>
      </c>
      <c r="F140" s="47">
        <f>IF(E140="Oui",Paramètres!$C$4,0)</f>
        <v>1000</v>
      </c>
      <c r="G140" s="26">
        <f>IF(B140="","",SUMIF(Paiements!$B$3:$B$506,B140,Paiements!$C$3:$C$506))</f>
        <v>0</v>
      </c>
      <c r="H140" s="27" t="str">
        <f>IF(B140="","",IF(G140&gt;=Paramètres!$C$5,"À déclarer","—"))</f>
        <v>—</v>
      </c>
      <c r="I140" s="24"/>
    </row>
    <row r="141" spans="1:9" x14ac:dyDescent="0.25">
      <c r="A141" s="22">
        <f t="shared" si="4"/>
        <v>139</v>
      </c>
      <c r="B141" s="37" t="s">
        <v>182</v>
      </c>
      <c r="C141" s="37"/>
      <c r="D141" s="38">
        <v>46220</v>
      </c>
      <c r="E141" s="39" t="s">
        <v>35</v>
      </c>
      <c r="F141" s="40">
        <f>IF(E141="Oui",Paramètres!$C$4,0)</f>
        <v>1000</v>
      </c>
      <c r="G141" s="40">
        <f>IF(B141="","",SUMIF(Paiements!$B$3:$B$506,B141,Paiements!$C$3:$C$506))</f>
        <v>3000</v>
      </c>
      <c r="H141" s="27" t="str">
        <f>IF(B141="","",IF(G141&gt;=Paramètres!$C$5,"À déclarer","—"))</f>
        <v>—</v>
      </c>
      <c r="I141" s="24"/>
    </row>
    <row r="142" spans="1:9" x14ac:dyDescent="0.25">
      <c r="A142" s="36">
        <f t="shared" si="4"/>
        <v>140</v>
      </c>
      <c r="B142" s="37" t="s">
        <v>199</v>
      </c>
      <c r="C142" s="37"/>
      <c r="D142" s="38">
        <v>46223</v>
      </c>
      <c r="E142" s="39" t="s">
        <v>35</v>
      </c>
      <c r="F142" s="40">
        <f>IF(E142="Oui",Paramètres!$C$4,0)</f>
        <v>1000</v>
      </c>
      <c r="G142" s="40">
        <f>IF(B142="","",SUMIF(Paiements!$B$3:$B$506,B142,Paiements!$C$3:$C$506))</f>
        <v>1000</v>
      </c>
      <c r="H142" s="27" t="str">
        <f>IF(B142="","",IF(G142&gt;=Paramètres!$C$5,"À déclarer","—"))</f>
        <v>—</v>
      </c>
      <c r="I142" s="24"/>
    </row>
    <row r="143" spans="1:9" x14ac:dyDescent="0.25">
      <c r="A143" s="22">
        <f t="shared" si="4"/>
        <v>141</v>
      </c>
      <c r="B143" s="23" t="s">
        <v>183</v>
      </c>
      <c r="C143" s="23"/>
      <c r="D143" s="24">
        <v>46223</v>
      </c>
      <c r="E143" s="25" t="s">
        <v>35</v>
      </c>
      <c r="F143" s="26">
        <f>IF(E143="Oui",Paramètres!$C$4,0)</f>
        <v>1000</v>
      </c>
      <c r="G143" s="26">
        <f>IF(B143="","",SUMIF(Paiements!$B$3:$B$506,B143,Paiements!$C$3:$C$506))</f>
        <v>0</v>
      </c>
      <c r="H143" s="27" t="str">
        <f>IF(B143="","",IF(G143&gt;=Paramètres!$C$5,"À déclarer","—"))</f>
        <v>—</v>
      </c>
      <c r="I143" s="24"/>
    </row>
    <row r="144" spans="1:9" x14ac:dyDescent="0.25">
      <c r="A144" s="22">
        <f t="shared" si="4"/>
        <v>142</v>
      </c>
      <c r="B144" s="23" t="s">
        <v>202</v>
      </c>
      <c r="C144" s="23"/>
      <c r="D144" s="24">
        <v>46223</v>
      </c>
      <c r="E144" s="25" t="s">
        <v>35</v>
      </c>
      <c r="F144" s="26">
        <f>IF(E144="Oui",Paramètres!$C$4,0)</f>
        <v>1000</v>
      </c>
      <c r="G144" s="26">
        <f>IF(B144="","",SUMIF(Paiements!$B$3:$B$506,B144,Paiements!$C$3:$C$506))</f>
        <v>0</v>
      </c>
      <c r="H144" s="27" t="str">
        <f>IF(B144="","",IF(G144&gt;=Paramètres!$C$5,"À déclarer","—"))</f>
        <v>—</v>
      </c>
      <c r="I144" s="24"/>
    </row>
    <row r="145" spans="1:9" x14ac:dyDescent="0.25">
      <c r="A145" s="22">
        <f t="shared" si="4"/>
        <v>143</v>
      </c>
      <c r="B145" s="37" t="s">
        <v>185</v>
      </c>
      <c r="C145" s="37"/>
      <c r="D145" s="38">
        <v>46223</v>
      </c>
      <c r="E145" s="39" t="s">
        <v>35</v>
      </c>
      <c r="F145" s="40">
        <f>IF(E145="Oui",Paramètres!$C$4,0)</f>
        <v>1000</v>
      </c>
      <c r="G145" s="40">
        <f>IF(B145="","",SUMIF(Paiements!$B$3:$B$506,B145,Paiements!$C$3:$C$506))</f>
        <v>0</v>
      </c>
      <c r="H145" s="27" t="str">
        <f>IF(B145="","",IF(G145&gt;=Paramètres!$C$5,"À déclarer","—"))</f>
        <v>—</v>
      </c>
      <c r="I145" s="24"/>
    </row>
    <row r="146" spans="1:9" x14ac:dyDescent="0.25">
      <c r="A146" s="22">
        <f t="shared" si="4"/>
        <v>144</v>
      </c>
      <c r="B146" s="23" t="s">
        <v>216</v>
      </c>
      <c r="C146" s="23"/>
      <c r="D146" s="24">
        <v>46225</v>
      </c>
      <c r="E146" s="25" t="s">
        <v>35</v>
      </c>
      <c r="F146" s="26">
        <f>IF(E146="Oui",Paramètres!$C$4,0)</f>
        <v>1000</v>
      </c>
      <c r="G146" s="26">
        <f>IF(B146="","",SUMIF(Paiements!$B$3:$B$506,B146,Paiements!$C$3:$C$506))</f>
        <v>10000</v>
      </c>
      <c r="H146" s="27" t="str">
        <f>IF(B146="","",IF(G146&gt;=Paramètres!$C$5,"À déclarer","—"))</f>
        <v>—</v>
      </c>
      <c r="I146" s="24"/>
    </row>
    <row r="147" spans="1:9" x14ac:dyDescent="0.25">
      <c r="A147" s="22">
        <f t="shared" si="4"/>
        <v>145</v>
      </c>
      <c r="B147" s="23" t="s">
        <v>186</v>
      </c>
      <c r="C147" s="23"/>
      <c r="D147" s="24">
        <v>46225</v>
      </c>
      <c r="E147" s="25" t="s">
        <v>35</v>
      </c>
      <c r="F147" s="26">
        <f>IF(E147="Oui",Paramètres!$C$4,0)</f>
        <v>1000</v>
      </c>
      <c r="G147" s="26">
        <f>IF(B147="","",SUMIF(Paiements!$B$3:$B$506,B147,Paiements!$C$3:$C$506))</f>
        <v>15000</v>
      </c>
      <c r="H147" s="27" t="str">
        <f>IF(B147="","",IF(G147&gt;=Paramètres!$C$5,"À déclarer","—"))</f>
        <v>À déclarer</v>
      </c>
      <c r="I147" s="24"/>
    </row>
    <row r="148" spans="1:9" x14ac:dyDescent="0.25">
      <c r="A148" s="22">
        <f t="shared" si="4"/>
        <v>146</v>
      </c>
      <c r="B148" s="37" t="s">
        <v>187</v>
      </c>
      <c r="C148" s="37"/>
      <c r="D148" s="38">
        <v>46225</v>
      </c>
      <c r="E148" s="39" t="s">
        <v>35</v>
      </c>
      <c r="F148" s="40">
        <f>IF(E148="Oui",Paramètres!$C$4,0)</f>
        <v>1000</v>
      </c>
      <c r="G148" s="40">
        <f>IF(B148="","",SUMIF(Paiements!$B$3:$B$506,B148,Paiements!$C$3:$C$506))</f>
        <v>0</v>
      </c>
      <c r="H148" s="27" t="str">
        <f>IF(B148="","",IF(G148&gt;=Paramètres!$C$5,"À déclarer","—"))</f>
        <v>—</v>
      </c>
      <c r="I148" s="24"/>
    </row>
    <row r="149" spans="1:9" x14ac:dyDescent="0.25">
      <c r="A149" s="36">
        <f t="shared" si="4"/>
        <v>147</v>
      </c>
      <c r="B149" s="37" t="s">
        <v>188</v>
      </c>
      <c r="C149" s="37"/>
      <c r="D149" s="38">
        <v>46225</v>
      </c>
      <c r="E149" s="39" t="s">
        <v>35</v>
      </c>
      <c r="F149" s="40">
        <f>IF(E149="Oui",Paramètres!$C$4,0)</f>
        <v>1000</v>
      </c>
      <c r="G149" s="40">
        <f>IF(B149="","",SUMIF(Paiements!$B$3:$B$506,B149,Paiements!$C$3:$C$506))</f>
        <v>0</v>
      </c>
      <c r="H149" s="41" t="str">
        <f>IF(B149="","",IF(G149&gt;=Paramètres!$C$5,"À déclarer","—"))</f>
        <v>—</v>
      </c>
      <c r="I149" s="24"/>
    </row>
    <row r="150" spans="1:9" x14ac:dyDescent="0.25">
      <c r="A150" s="22">
        <f t="shared" si="4"/>
        <v>148</v>
      </c>
      <c r="B150" s="23" t="s">
        <v>190</v>
      </c>
      <c r="C150" s="23"/>
      <c r="D150" s="24">
        <v>46226</v>
      </c>
      <c r="E150" s="25" t="s">
        <v>35</v>
      </c>
      <c r="F150" s="26">
        <f>IF(E150="Oui",Paramètres!$C$4,0)</f>
        <v>1000</v>
      </c>
      <c r="G150" s="26">
        <f>IF(B150="","",SUMIF(Paiements!$B$3:$B$506,B150,Paiements!$C$3:$C$506))</f>
        <v>0</v>
      </c>
      <c r="H150" s="27" t="str">
        <f>IF(B150="","",IF(G150&gt;=Paramètres!$C$5,"À déclarer","—"))</f>
        <v>—</v>
      </c>
      <c r="I150" s="24"/>
    </row>
    <row r="151" spans="1:9" x14ac:dyDescent="0.25">
      <c r="A151" s="22">
        <v>149</v>
      </c>
      <c r="B151" s="23" t="s">
        <v>189</v>
      </c>
      <c r="C151" s="23">
        <v>692695788</v>
      </c>
      <c r="D151" s="24">
        <v>46230</v>
      </c>
      <c r="E151" s="25" t="s">
        <v>35</v>
      </c>
      <c r="F151" s="26">
        <f>IF(E151="Oui",Paramètres!$C$4,0)</f>
        <v>1000</v>
      </c>
      <c r="G151" s="26">
        <f>IF(B151="","",SUMIF(Paiements!$B$3:$B$506,B151,Paiements!$C$3:$C$506))</f>
        <v>18000</v>
      </c>
      <c r="H151" s="27" t="str">
        <f>IF(B151="","",IF(G151&gt;=Paramètres!$C$5,"À déclarer","—"))</f>
        <v>À déclarer</v>
      </c>
      <c r="I151" s="24"/>
    </row>
    <row r="152" spans="1:9" x14ac:dyDescent="0.25">
      <c r="A152" s="22">
        <v>150</v>
      </c>
      <c r="B152" s="23" t="s">
        <v>196</v>
      </c>
      <c r="C152" s="23"/>
      <c r="D152" s="24">
        <v>46231</v>
      </c>
      <c r="E152" s="25" t="s">
        <v>35</v>
      </c>
      <c r="F152" s="26">
        <f>IF(E152="Oui",Paramètres!$C$4,0)</f>
        <v>1000</v>
      </c>
      <c r="G152" s="26">
        <f>IF(B152="","",SUMIF(Paiements!$B$3:$B$506,B152,Paiements!$C$3:$C$506))</f>
        <v>0</v>
      </c>
      <c r="H152" s="27" t="str">
        <f>IF(B152="","",IF(G152&gt;=Paramètres!$C$5,"À déclarer","—"))</f>
        <v>—</v>
      </c>
      <c r="I152" s="24"/>
    </row>
    <row r="153" spans="1:9" x14ac:dyDescent="0.25">
      <c r="A153" s="22">
        <v>151</v>
      </c>
      <c r="B153" s="37" t="s">
        <v>197</v>
      </c>
      <c r="C153" s="37"/>
      <c r="D153" s="38">
        <v>46231</v>
      </c>
      <c r="E153" s="39" t="s">
        <v>35</v>
      </c>
      <c r="F153" s="40">
        <f>IF(E153="Oui",Paramètres!$C$4,0)</f>
        <v>1000</v>
      </c>
      <c r="G153" s="40">
        <f>IF(B153="","",SUMIF(Paiements!$B$3:$B$506,B153,Paiements!$C$3:$C$506))</f>
        <v>0</v>
      </c>
      <c r="H153" s="27" t="str">
        <f>IF(B153="","",IF(G153&gt;=Paramètres!$C$5,"À déclarer","—"))</f>
        <v>—</v>
      </c>
      <c r="I153" s="24"/>
    </row>
    <row r="154" spans="1:9" x14ac:dyDescent="0.25">
      <c r="A154" s="22">
        <v>152</v>
      </c>
      <c r="B154" s="23" t="s">
        <v>198</v>
      </c>
      <c r="C154" s="23"/>
      <c r="D154" s="24">
        <v>46231</v>
      </c>
      <c r="E154" s="25" t="s">
        <v>35</v>
      </c>
      <c r="F154" s="26">
        <f>IF(E154="Oui",Paramètres!$C$4,0)</f>
        <v>1000</v>
      </c>
      <c r="G154" s="26">
        <f>IF(B154="","",SUMIF(Paiements!$B$3:$B$506,B154,Paiements!$C$3:$C$506))</f>
        <v>0</v>
      </c>
      <c r="H154" s="27" t="str">
        <f>IF(B154="","",IF(G154&gt;=Paramètres!$C$5,"À déclarer","—"))</f>
        <v>—</v>
      </c>
      <c r="I154" s="24"/>
    </row>
    <row r="155" spans="1:9" x14ac:dyDescent="0.25">
      <c r="A155" s="22">
        <f>IF(B155="","",ROW()-2)</f>
        <v>153</v>
      </c>
      <c r="B155" s="23" t="s">
        <v>215</v>
      </c>
      <c r="C155" s="23"/>
      <c r="D155" s="24">
        <v>46231</v>
      </c>
      <c r="E155" s="25" t="s">
        <v>35</v>
      </c>
      <c r="F155" s="26">
        <f>IF(E155="Oui",Paramètres!$C$4,0)</f>
        <v>1000</v>
      </c>
      <c r="G155" s="26">
        <f>IF(B155="","",SUMIF(Paiements!$B$3:$B$506,B155,Paiements!$C$3:$C$506))</f>
        <v>9000</v>
      </c>
      <c r="H155" s="27" t="str">
        <f>IF(B155="","",IF(G155&gt;=Paramètres!$C$5,"À déclarer","—"))</f>
        <v>—</v>
      </c>
      <c r="I155" s="24"/>
    </row>
    <row r="156" spans="1:9" x14ac:dyDescent="0.25">
      <c r="A156" s="22">
        <f t="shared" si="4"/>
        <v>154</v>
      </c>
      <c r="B156" s="23" t="s">
        <v>206</v>
      </c>
      <c r="C156" s="23"/>
      <c r="D156" s="24">
        <v>46238</v>
      </c>
      <c r="E156" s="25" t="s">
        <v>35</v>
      </c>
      <c r="F156" s="26">
        <f>IF(E156="Oui",Paramètres!$C$4,0)</f>
        <v>1000</v>
      </c>
      <c r="G156" s="26">
        <f>IF(B156="","",SUMIF(Paiements!$B$3:$B$506,B156,Paiements!$C$3:$C$506))</f>
        <v>0</v>
      </c>
      <c r="H156" s="27" t="str">
        <f>IF(B156="","",IF(G156&gt;=Paramètres!$C$5,"À déclarer","—"))</f>
        <v>—</v>
      </c>
      <c r="I156" s="24"/>
    </row>
    <row r="157" spans="1:9" x14ac:dyDescent="0.25">
      <c r="A157" s="22">
        <f t="shared" si="4"/>
        <v>155</v>
      </c>
      <c r="B157" s="37" t="s">
        <v>207</v>
      </c>
      <c r="C157" s="37"/>
      <c r="D157" s="38">
        <v>46238</v>
      </c>
      <c r="E157" s="39" t="s">
        <v>35</v>
      </c>
      <c r="F157" s="40">
        <f>IF(E157="Oui",Paramètres!$C$4,0)</f>
        <v>1000</v>
      </c>
      <c r="G157" s="40">
        <f>IF(B157="","",SUMIF(Paiements!$B$3:$B$506,B157,Paiements!$C$3:$C$506))</f>
        <v>0</v>
      </c>
      <c r="H157" s="27" t="str">
        <f>IF(B157="","",IF(G157&gt;=Paramètres!$C$5,"À déclarer","—"))</f>
        <v>—</v>
      </c>
      <c r="I157" s="24"/>
    </row>
    <row r="158" spans="1:9" x14ac:dyDescent="0.25">
      <c r="A158" s="43">
        <f t="shared" si="4"/>
        <v>156</v>
      </c>
      <c r="B158" s="44" t="s">
        <v>210</v>
      </c>
      <c r="C158" s="44">
        <v>691049532</v>
      </c>
      <c r="D158" s="45">
        <v>46238</v>
      </c>
      <c r="E158" s="46" t="s">
        <v>35</v>
      </c>
      <c r="F158" s="47">
        <f>IF(E158="Oui",Paramètres!$C$4,0)</f>
        <v>1000</v>
      </c>
      <c r="G158" s="26">
        <f>IF(B158="","",SUMIF(Paiements!$B$3:$B$506,B158,Paiements!$C$3:$C$506))</f>
        <v>0</v>
      </c>
      <c r="H158" s="27" t="str">
        <f>IF(B158="","",IF(G158&gt;=Paramètres!$C$5,"À déclarer","—"))</f>
        <v>—</v>
      </c>
      <c r="I158" s="24"/>
    </row>
    <row r="159" spans="1:9" x14ac:dyDescent="0.25">
      <c r="A159" s="22">
        <f t="shared" si="4"/>
        <v>157</v>
      </c>
      <c r="B159" s="23" t="s">
        <v>212</v>
      </c>
      <c r="C159" s="23">
        <v>681386562</v>
      </c>
      <c r="D159" s="24">
        <v>46238</v>
      </c>
      <c r="E159" s="25" t="s">
        <v>35</v>
      </c>
      <c r="F159" s="26">
        <f>IF(E159="Oui",Paramètres!$C$4,0)</f>
        <v>1000</v>
      </c>
      <c r="G159" s="26">
        <f>IF(B159="","",SUMIF(Paiements!$B$3:$B$506,B159,Paiements!$C$3:$C$506))</f>
        <v>0</v>
      </c>
      <c r="H159" s="27" t="str">
        <f>IF(B159="","",IF(G159&gt;=Paramètres!$C$5,"À déclarer","—"))</f>
        <v>—</v>
      </c>
      <c r="I159" s="24"/>
    </row>
    <row r="160" spans="1:9" x14ac:dyDescent="0.25">
      <c r="A160" s="22">
        <v>158</v>
      </c>
      <c r="B160" s="23" t="s">
        <v>184</v>
      </c>
      <c r="C160" s="23">
        <v>695926451</v>
      </c>
      <c r="D160" s="24">
        <v>46223</v>
      </c>
      <c r="E160" s="25" t="s">
        <v>214</v>
      </c>
      <c r="F160" s="26">
        <f>IF(E160="Oui",Paramètres!$C$4,0)</f>
        <v>1000</v>
      </c>
      <c r="G160" s="26">
        <f>IF(B160="","",SUMIF(Paiements!$B$3:$B$506,B160,Paiements!$C$3:$C$506))</f>
        <v>14000</v>
      </c>
      <c r="H160" s="27" t="str">
        <f>IF(B160="","",IF(G160&gt;=Paramètres!$C$5,"À déclarer","—"))</f>
        <v>—</v>
      </c>
      <c r="I160" s="24"/>
    </row>
    <row r="161" spans="1:9" x14ac:dyDescent="0.25">
      <c r="A161" s="22">
        <v>159</v>
      </c>
      <c r="B161" s="23" t="s">
        <v>217</v>
      </c>
      <c r="C161" s="23">
        <v>655398961</v>
      </c>
      <c r="D161" s="24">
        <v>46239</v>
      </c>
      <c r="E161" s="25" t="s">
        <v>35</v>
      </c>
      <c r="F161" s="26">
        <v>1000</v>
      </c>
      <c r="G161" s="26">
        <f>IF(B161="","",SUMIF(Paiements!$B$3:$B$506,B161,Paiements!$C$3:$C$506))</f>
        <v>21000</v>
      </c>
      <c r="H161" s="27" t="str">
        <f>IF(B161="","",IF(G161&gt;=Paramètres!$C$5,"À déclarer","—"))</f>
        <v>À déclarer</v>
      </c>
      <c r="I161" s="24">
        <v>46231</v>
      </c>
    </row>
    <row r="162" spans="1:9" x14ac:dyDescent="0.25">
      <c r="A162" s="22">
        <v>160</v>
      </c>
      <c r="B162" s="23" t="s">
        <v>219</v>
      </c>
      <c r="C162" s="23"/>
      <c r="D162" s="24">
        <v>46240</v>
      </c>
      <c r="E162" s="25" t="s">
        <v>35</v>
      </c>
      <c r="F162" s="26">
        <f>IF(E162="Oui",Paramètres!$C$4,0)</f>
        <v>1000</v>
      </c>
      <c r="G162" s="26">
        <f>IF(B162="","",SUMIF(Paiements!$B$3:$B$506,B162,Paiements!$C$3:$C$506))</f>
        <v>0</v>
      </c>
      <c r="H162" s="27" t="str">
        <f>IF(B162="","",IF(G162&gt;=Paramètres!$C$5,"À déclarer","—"))</f>
        <v>—</v>
      </c>
      <c r="I162" s="24"/>
    </row>
    <row r="163" spans="1:9" x14ac:dyDescent="0.25">
      <c r="A163" s="36">
        <v>161</v>
      </c>
      <c r="B163" s="37" t="s">
        <v>220</v>
      </c>
      <c r="C163" s="37"/>
      <c r="D163" s="38">
        <v>46244</v>
      </c>
      <c r="E163" s="39" t="s">
        <v>35</v>
      </c>
      <c r="F163" s="40">
        <f>IF(E163="Oui",Paramètres!$C$4,0)</f>
        <v>1000</v>
      </c>
      <c r="G163" s="40">
        <f>IF(B163="","",SUMIF(Paiements!$B$3:$B$506,B163,Paiements!$C$3:$C$506))</f>
        <v>0</v>
      </c>
      <c r="H163" s="27" t="str">
        <f>IF(B163="","",IF(G163&gt;=Paramètres!$C$5,"À déclarer","—"))</f>
        <v>—</v>
      </c>
      <c r="I163" s="24"/>
    </row>
    <row r="164" spans="1:9" x14ac:dyDescent="0.25">
      <c r="A164" s="36">
        <v>162</v>
      </c>
      <c r="B164" s="37" t="s">
        <v>221</v>
      </c>
      <c r="C164" s="37">
        <v>695647365</v>
      </c>
      <c r="D164" s="38">
        <v>46244</v>
      </c>
      <c r="E164" s="39" t="s">
        <v>35</v>
      </c>
      <c r="F164" s="40">
        <f>IF(E164="Oui",Paramètres!$C$4,0)</f>
        <v>1000</v>
      </c>
      <c r="G164" s="26">
        <f>IF(B164="","",SUMIF(Paiements!$B$3:$B$506,B164,Paiements!$C$3:$C$506))</f>
        <v>2000</v>
      </c>
      <c r="H164" s="41" t="str">
        <f>IF(B164="","",IF(G164&gt;=Paramètres!$C$5,"À déclarer","—"))</f>
        <v>—</v>
      </c>
      <c r="I164" s="24"/>
    </row>
    <row r="165" spans="1:9" x14ac:dyDescent="0.25">
      <c r="A165" s="22">
        <v>163</v>
      </c>
      <c r="B165" s="23" t="s">
        <v>223</v>
      </c>
      <c r="C165" s="23">
        <v>695432043</v>
      </c>
      <c r="D165" s="24">
        <v>46245</v>
      </c>
      <c r="E165" s="25" t="s">
        <v>35</v>
      </c>
      <c r="F165" s="26">
        <f>IF(E165="Oui",Paramètres!$C$4,0)</f>
        <v>1000</v>
      </c>
      <c r="G165" s="26">
        <f>IF(B165="","",SUMIF(Paiements!$B$3:$B$506,B165,Paiements!$C$3:$C$506))</f>
        <v>0</v>
      </c>
      <c r="H165" s="27" t="str">
        <f>IF(B165="","",IF(G165&gt;=Paramètres!$C$5,"À déclarer","—"))</f>
        <v>—</v>
      </c>
      <c r="I165" s="24"/>
    </row>
    <row r="166" spans="1:9" x14ac:dyDescent="0.25">
      <c r="A166" s="36">
        <v>164</v>
      </c>
      <c r="B166" s="37" t="s">
        <v>224</v>
      </c>
      <c r="C166" s="37">
        <v>656471519</v>
      </c>
      <c r="D166" s="38">
        <v>46245</v>
      </c>
      <c r="E166" s="39" t="s">
        <v>35</v>
      </c>
      <c r="F166" s="40">
        <f>IF(E166="Oui",Paramètres!$C$4,0)</f>
        <v>1000</v>
      </c>
      <c r="G166" s="40">
        <f>IF(B166="","",SUMIF(Paiements!$B$3:$B$506,B166,Paiements!$C$3:$C$506))</f>
        <v>0</v>
      </c>
      <c r="H166" s="27" t="str">
        <f>IF(B166="","",IF(G166&gt;=Paramètres!$C$5,"À déclarer","—"))</f>
        <v>—</v>
      </c>
      <c r="I166" s="24"/>
    </row>
    <row r="167" spans="1:9" x14ac:dyDescent="0.25">
      <c r="A167" s="22">
        <v>165</v>
      </c>
      <c r="B167" s="23" t="s">
        <v>225</v>
      </c>
      <c r="C167" s="23">
        <v>688327903</v>
      </c>
      <c r="D167" s="24">
        <v>46245</v>
      </c>
      <c r="E167" s="25" t="s">
        <v>35</v>
      </c>
      <c r="F167" s="26">
        <f>IF(E167="Oui",Paramètres!$C$4,0)</f>
        <v>1000</v>
      </c>
      <c r="G167" s="26">
        <f>IF(B167="","",SUMIF(Paiements!$B$3:$B$506,B167,Paiements!$C$3:$C$506))</f>
        <v>0</v>
      </c>
      <c r="H167" s="27" t="str">
        <f>IF(B167="","",IF(G167&gt;=Paramètres!$C$5,"À déclarer","—"))</f>
        <v>—</v>
      </c>
      <c r="I167" s="24"/>
    </row>
    <row r="168" spans="1:9" x14ac:dyDescent="0.25">
      <c r="A168" s="36">
        <v>166</v>
      </c>
      <c r="B168" s="37" t="s">
        <v>230</v>
      </c>
      <c r="C168" s="37">
        <v>696764532</v>
      </c>
      <c r="D168" s="38">
        <v>46245</v>
      </c>
      <c r="E168" s="39" t="s">
        <v>35</v>
      </c>
      <c r="F168" s="40">
        <f>IF(E168="Oui",Paramètres!$C$4,0)</f>
        <v>1000</v>
      </c>
      <c r="G168" s="40">
        <f>IF(B168="","",SUMIF(Paiements!$B$3:$B$506,B168,Paiements!$C$3:$C$506))</f>
        <v>0</v>
      </c>
      <c r="H168" s="41" t="str">
        <f>IF(B168="","",IF(G168&gt;=Paramètres!$C$5,"À déclarer","—"))</f>
        <v>—</v>
      </c>
      <c r="I168" s="24"/>
    </row>
    <row r="169" spans="1:9" x14ac:dyDescent="0.25">
      <c r="A169" s="22">
        <v>167</v>
      </c>
      <c r="B169" s="23" t="s">
        <v>235</v>
      </c>
      <c r="C169" s="23"/>
      <c r="D169" s="24">
        <v>46253</v>
      </c>
      <c r="E169" s="25" t="s">
        <v>35</v>
      </c>
      <c r="F169" s="26">
        <f>IF(E169="Oui",Paramètres!$C$4,0)</f>
        <v>1000</v>
      </c>
      <c r="G169" s="26">
        <f>IF(B169="","",SUMIF(Paiements!$B$3:$B$506,B169,Paiements!$C$3:$C$506))</f>
        <v>10000</v>
      </c>
      <c r="H169" s="27" t="str">
        <f>IF(B169="","",IF(G169&gt;=Paramètres!$C$5,"À déclarer","—"))</f>
        <v>—</v>
      </c>
      <c r="I169" s="24"/>
    </row>
    <row r="170" spans="1:9" x14ac:dyDescent="0.25">
      <c r="A170" s="43">
        <f t="shared" ref="A170:A194" si="5">IF(B170="","",ROW()-2)</f>
        <v>168</v>
      </c>
      <c r="B170" s="44" t="s">
        <v>236</v>
      </c>
      <c r="C170" s="44">
        <v>675624055</v>
      </c>
      <c r="D170" s="45">
        <v>46254</v>
      </c>
      <c r="E170" s="46" t="s">
        <v>35</v>
      </c>
      <c r="F170" s="47">
        <f>IF(E170="Oui",Paramètres!$C$4,0)</f>
        <v>1000</v>
      </c>
      <c r="G170" s="26">
        <f>IF(B170="","",SUMIF(Paiements!$B$3:$B$506,B170,Paiements!$C$3:$C$506))</f>
        <v>0</v>
      </c>
      <c r="H170" s="48" t="str">
        <f>IF(B170="","",IF(G170&gt;=Paramètres!$C$5,"À déclarer","—"))</f>
        <v>—</v>
      </c>
      <c r="I170" s="24"/>
    </row>
    <row r="171" spans="1:9" x14ac:dyDescent="0.25">
      <c r="A171" s="22">
        <f t="shared" si="5"/>
        <v>169</v>
      </c>
      <c r="B171" s="23" t="s">
        <v>239</v>
      </c>
      <c r="C171" s="23">
        <v>698969514</v>
      </c>
      <c r="D171" s="24">
        <v>46264</v>
      </c>
      <c r="E171" s="25" t="s">
        <v>35</v>
      </c>
      <c r="F171" s="26">
        <f>IF(E171="Oui",Paramètres!$C$4,0)</f>
        <v>1000</v>
      </c>
      <c r="G171" s="26">
        <f>IF(B171="","",SUMIF(Paiements!$B$3:$B$506,B171,Paiements!$C$3:$C$506))</f>
        <v>0</v>
      </c>
      <c r="H171" s="27" t="str">
        <f>IF(B171="","",IF(G171&gt;=Paramètres!$C$5,"À déclarer","—"))</f>
        <v>—</v>
      </c>
      <c r="I171" s="24"/>
    </row>
    <row r="172" spans="1:9" x14ac:dyDescent="0.25">
      <c r="A172" s="22">
        <v>170</v>
      </c>
      <c r="B172" s="23" t="s">
        <v>242</v>
      </c>
      <c r="C172" s="23">
        <v>680092349</v>
      </c>
      <c r="D172" s="24">
        <v>46269</v>
      </c>
      <c r="E172" s="25" t="s">
        <v>35</v>
      </c>
      <c r="F172" s="26">
        <f>IF(E172="Oui",Paramètres!$C$4,0)</f>
        <v>1000</v>
      </c>
      <c r="G172" s="26">
        <f>IF(B172="","",SUMIF(Paiements!$B$3:$B$506,B172,Paiements!$C$3:$C$506))</f>
        <v>0</v>
      </c>
      <c r="H172" s="27"/>
      <c r="I172" s="24"/>
    </row>
    <row r="173" spans="1:9" x14ac:dyDescent="0.25">
      <c r="A173" s="22">
        <v>171</v>
      </c>
      <c r="B173" s="23" t="s">
        <v>243</v>
      </c>
      <c r="C173" s="23"/>
      <c r="D173" s="24">
        <v>46272</v>
      </c>
      <c r="E173" s="25" t="s">
        <v>35</v>
      </c>
      <c r="F173" s="26">
        <f>IF(E173="Oui",Paramètres!$C$4,0)</f>
        <v>1000</v>
      </c>
      <c r="G173" s="26">
        <f>IF(B173="","",SUMIF(Paiements!$B$3:$B$506,B173,Paiements!$C$3:$C$506))</f>
        <v>0</v>
      </c>
      <c r="H173" s="27" t="str">
        <f>IF(B173="","",IF(G173&gt;=Paramètres!$C$5,"À déclarer","—"))</f>
        <v>—</v>
      </c>
      <c r="I173" s="24"/>
    </row>
    <row r="174" spans="1:9" x14ac:dyDescent="0.25">
      <c r="A174" s="22">
        <v>172</v>
      </c>
      <c r="B174" s="23" t="s">
        <v>246</v>
      </c>
      <c r="C174" s="23">
        <v>672584522</v>
      </c>
      <c r="D174" s="24">
        <v>46276</v>
      </c>
      <c r="E174" s="25" t="s">
        <v>35</v>
      </c>
      <c r="F174" s="26">
        <f>IF(E174="Oui",Paramètres!$C$4,0)</f>
        <v>1000</v>
      </c>
      <c r="G174" s="26">
        <f>IF(B174="","",SUMIF(Paiements!$B$3:$B$506,B174,Paiements!$C$3:$C$506))</f>
        <v>0</v>
      </c>
      <c r="H174" s="27" t="str">
        <f>IF(B174="","",IF(G174&gt;=Paramètres!$C$5,"À déclarer","—"))</f>
        <v>—</v>
      </c>
      <c r="I174" s="24"/>
    </row>
    <row r="175" spans="1:9" x14ac:dyDescent="0.25">
      <c r="A175" s="22" t="str">
        <f t="shared" si="5"/>
        <v/>
      </c>
      <c r="B175" s="23"/>
      <c r="C175" s="23"/>
      <c r="D175" s="24"/>
      <c r="E175" s="25"/>
      <c r="F175" s="26">
        <f>IF(E175="Oui",Paramètres!$C$4,0)</f>
        <v>0</v>
      </c>
      <c r="G175" s="26" t="str">
        <f>IF(B175="","",SUMIF(Paiements!$B$3:$B$506,B175,Paiements!$C$3:$C$506))</f>
        <v/>
      </c>
      <c r="H175" s="27" t="str">
        <f>IF(B175="","",IF(G175&gt;=Paramètres!$C$5,"À déclarer","—"))</f>
        <v/>
      </c>
      <c r="I175" s="24"/>
    </row>
    <row r="176" spans="1:9" x14ac:dyDescent="0.25">
      <c r="A176" s="22" t="str">
        <f t="shared" si="5"/>
        <v/>
      </c>
      <c r="B176" s="23"/>
      <c r="C176" s="23"/>
      <c r="D176" s="24"/>
      <c r="E176" s="25"/>
      <c r="F176" s="26">
        <f>IF(E176="Oui",Paramètres!$C$4,0)</f>
        <v>0</v>
      </c>
      <c r="G176" s="26" t="str">
        <f>IF(B176="","",SUMIF(Paiements!$B$3:$B$506,B176,Paiements!$C$3:$C$506))</f>
        <v/>
      </c>
      <c r="H176" s="27" t="str">
        <f>IF(B176="","",IF(G176&gt;=Paramètres!$C$5,"À déclarer","—"))</f>
        <v/>
      </c>
      <c r="I176" s="24"/>
    </row>
    <row r="177" spans="1:9" x14ac:dyDescent="0.25">
      <c r="A177" s="22" t="str">
        <f t="shared" si="5"/>
        <v/>
      </c>
      <c r="B177" s="23"/>
      <c r="C177" s="23"/>
      <c r="D177" s="24"/>
      <c r="E177" s="25"/>
      <c r="F177" s="26">
        <f>IF(E177="Oui",Paramètres!$C$4,0)</f>
        <v>0</v>
      </c>
      <c r="G177" s="26" t="str">
        <f>IF(B177="","",SUMIF(Paiements!$B$3:$B$506,B177,Paiements!$C$3:$C$506))</f>
        <v/>
      </c>
      <c r="H177" s="27" t="str">
        <f>IF(B177="","",IF(G177&gt;=Paramètres!$C$5,"À déclarer","—"))</f>
        <v/>
      </c>
      <c r="I177" s="24"/>
    </row>
    <row r="178" spans="1:9" x14ac:dyDescent="0.25">
      <c r="A178" s="22" t="str">
        <f t="shared" si="5"/>
        <v/>
      </c>
      <c r="B178" s="23"/>
      <c r="C178" s="23"/>
      <c r="D178" s="24"/>
      <c r="E178" s="25"/>
      <c r="F178" s="26">
        <f>IF(E178="Oui",Paramètres!$C$4,0)</f>
        <v>0</v>
      </c>
      <c r="G178" s="26" t="str">
        <f>IF(B178="","",SUMIF(Paiements!$B$3:$B$506,B178,Paiements!$C$3:$C$506))</f>
        <v/>
      </c>
      <c r="H178" s="27" t="str">
        <f>IF(B178="","",IF(G178&gt;=Paramètres!$C$5,"À déclarer","—"))</f>
        <v/>
      </c>
      <c r="I178" s="24"/>
    </row>
    <row r="179" spans="1:9" x14ac:dyDescent="0.25">
      <c r="A179" s="22" t="str">
        <f t="shared" si="5"/>
        <v/>
      </c>
      <c r="B179" s="23"/>
      <c r="C179" s="23"/>
      <c r="D179" s="24"/>
      <c r="E179" s="25"/>
      <c r="F179" s="26">
        <f>IF(E179="Oui",Paramètres!$C$4,0)</f>
        <v>0</v>
      </c>
      <c r="G179" s="26" t="str">
        <f>IF(B179="","",SUMIF(Paiements!$B$3:$B$506,B179,Paiements!$C$3:$C$506))</f>
        <v/>
      </c>
      <c r="H179" s="27" t="str">
        <f>IF(B179="","",IF(G179&gt;=Paramètres!$C$5,"À déclarer","—"))</f>
        <v/>
      </c>
      <c r="I179" s="24"/>
    </row>
    <row r="180" spans="1:9" x14ac:dyDescent="0.25">
      <c r="A180" s="22" t="str">
        <f t="shared" si="5"/>
        <v/>
      </c>
      <c r="B180" s="23"/>
      <c r="C180" s="23"/>
      <c r="D180" s="24"/>
      <c r="E180" s="25"/>
      <c r="F180" s="26">
        <f>IF(E180="Oui",Paramètres!$C$4,0)</f>
        <v>0</v>
      </c>
      <c r="G180" s="26" t="str">
        <f>IF(B180="","",SUMIF(Paiements!$B$3:$B$506,B180,Paiements!$C$3:$C$506))</f>
        <v/>
      </c>
      <c r="H180" s="27" t="str">
        <f>IF(B180="","",IF(G180&gt;=Paramètres!$C$5,"À déclarer","—"))</f>
        <v/>
      </c>
      <c r="I180" s="24"/>
    </row>
    <row r="181" spans="1:9" x14ac:dyDescent="0.25">
      <c r="A181" s="22" t="str">
        <f t="shared" si="5"/>
        <v/>
      </c>
      <c r="B181" s="23"/>
      <c r="C181" s="23"/>
      <c r="D181" s="24"/>
      <c r="E181" s="25"/>
      <c r="F181" s="26">
        <f>IF(E181="Oui",Paramètres!$C$4,0)</f>
        <v>0</v>
      </c>
      <c r="G181" s="26" t="str">
        <f>IF(B181="","",SUMIF(Paiements!$B$3:$B$506,B181,Paiements!$C$3:$C$506))</f>
        <v/>
      </c>
      <c r="H181" s="27" t="str">
        <f>IF(B181="","",IF(G181&gt;=Paramètres!$C$5,"À déclarer","—"))</f>
        <v/>
      </c>
      <c r="I181" s="24"/>
    </row>
    <row r="182" spans="1:9" x14ac:dyDescent="0.25">
      <c r="A182" s="22" t="str">
        <f t="shared" si="5"/>
        <v/>
      </c>
      <c r="B182" s="23"/>
      <c r="C182" s="23"/>
      <c r="D182" s="24"/>
      <c r="E182" s="25"/>
      <c r="F182" s="26">
        <f>IF(E182="Oui",Paramètres!$C$4,0)</f>
        <v>0</v>
      </c>
      <c r="G182" s="26" t="str">
        <f>IF(B182="","",SUMIF(Paiements!$B$3:$B$506,B182,Paiements!$C$3:$C$506))</f>
        <v/>
      </c>
      <c r="H182" s="27" t="str">
        <f>IF(B182="","",IF(G182&gt;=Paramètres!$C$5,"À déclarer","—"))</f>
        <v/>
      </c>
      <c r="I182" s="24"/>
    </row>
    <row r="183" spans="1:9" x14ac:dyDescent="0.25">
      <c r="A183" s="22" t="str">
        <f t="shared" si="5"/>
        <v/>
      </c>
      <c r="B183" s="23"/>
      <c r="C183" s="23"/>
      <c r="D183" s="24"/>
      <c r="E183" s="25"/>
      <c r="F183" s="26">
        <f>IF(E183="Oui",Paramètres!$C$4,0)</f>
        <v>0</v>
      </c>
      <c r="G183" s="26" t="str">
        <f>IF(B183="","",SUMIF(Paiements!$B$3:$B$506,B183,Paiements!$C$3:$C$506))</f>
        <v/>
      </c>
      <c r="H183" s="27" t="str">
        <f>IF(B183="","",IF(G183&gt;=Paramètres!$C$5,"À déclarer","—"))</f>
        <v/>
      </c>
      <c r="I183" s="24"/>
    </row>
    <row r="184" spans="1:9" x14ac:dyDescent="0.25">
      <c r="A184" s="22" t="str">
        <f t="shared" si="5"/>
        <v/>
      </c>
      <c r="B184" s="23"/>
      <c r="C184" s="23"/>
      <c r="D184" s="24"/>
      <c r="E184" s="25"/>
      <c r="F184" s="26">
        <f>IF(E184="Oui",Paramètres!$C$4,0)</f>
        <v>0</v>
      </c>
      <c r="G184" s="26" t="str">
        <f>IF(B184="","",SUMIF(Paiements!$B$3:$B$506,B184,Paiements!$C$3:$C$506))</f>
        <v/>
      </c>
      <c r="H184" s="27" t="str">
        <f>IF(B184="","",IF(G184&gt;=Paramètres!$C$5,"À déclarer","—"))</f>
        <v/>
      </c>
      <c r="I184" s="24"/>
    </row>
    <row r="185" spans="1:9" x14ac:dyDescent="0.25">
      <c r="A185" s="22" t="str">
        <f t="shared" si="5"/>
        <v/>
      </c>
      <c r="B185" s="23"/>
      <c r="C185" s="23"/>
      <c r="D185" s="24"/>
      <c r="E185" s="25"/>
      <c r="F185" s="26">
        <f>IF(E185="Oui",Paramètres!$C$4,0)</f>
        <v>0</v>
      </c>
      <c r="G185" s="26" t="str">
        <f>IF(B185="","",SUMIF(Paiements!$B$3:$B$506,B185,Paiements!$C$3:$C$506))</f>
        <v/>
      </c>
      <c r="H185" s="27" t="str">
        <f>IF(B185="","",IF(G185&gt;=Paramètres!$C$5,"À déclarer","—"))</f>
        <v/>
      </c>
      <c r="I185" s="24"/>
    </row>
    <row r="186" spans="1:9" x14ac:dyDescent="0.25">
      <c r="A186" s="22" t="str">
        <f t="shared" si="5"/>
        <v/>
      </c>
      <c r="B186" s="23"/>
      <c r="C186" s="23"/>
      <c r="D186" s="24"/>
      <c r="E186" s="25"/>
      <c r="F186" s="26">
        <f>IF(E186="Oui",Paramètres!$C$4,0)</f>
        <v>0</v>
      </c>
      <c r="G186" s="26" t="str">
        <f>IF(B186="","",SUMIF(Paiements!$B$3:$B$506,B186,Paiements!$C$3:$C$506))</f>
        <v/>
      </c>
      <c r="H186" s="27" t="str">
        <f>IF(B186="","",IF(G186&gt;=Paramètres!$C$5,"À déclarer","—"))</f>
        <v/>
      </c>
      <c r="I186" s="24"/>
    </row>
    <row r="187" spans="1:9" x14ac:dyDescent="0.25">
      <c r="A187" s="22" t="str">
        <f t="shared" si="5"/>
        <v/>
      </c>
      <c r="B187" s="23"/>
      <c r="C187" s="23"/>
      <c r="D187" s="24"/>
      <c r="E187" s="25"/>
      <c r="F187" s="26">
        <f>IF(E187="Oui",Paramètres!$C$4,0)</f>
        <v>0</v>
      </c>
      <c r="G187" s="26" t="str">
        <f>IF(B187="","",SUMIF(Paiements!$B$3:$B$506,B187,Paiements!$C$3:$C$506))</f>
        <v/>
      </c>
      <c r="H187" s="27" t="str">
        <f>IF(B187="","",IF(G187&gt;=Paramètres!$C$5,"À déclarer","—"))</f>
        <v/>
      </c>
      <c r="I187" s="24"/>
    </row>
    <row r="188" spans="1:9" x14ac:dyDescent="0.25">
      <c r="A188" s="22" t="str">
        <f t="shared" si="5"/>
        <v/>
      </c>
      <c r="B188" s="23"/>
      <c r="C188" s="23"/>
      <c r="D188" s="24"/>
      <c r="E188" s="25"/>
      <c r="F188" s="26">
        <f>IF(E188="Oui",Paramètres!$C$4,0)</f>
        <v>0</v>
      </c>
      <c r="G188" s="26" t="str">
        <f>IF(B188="","",SUMIF(Paiements!$B$3:$B$506,B188,Paiements!$C$3:$C$506))</f>
        <v/>
      </c>
      <c r="H188" s="27" t="str">
        <f>IF(B188="","",IF(G188&gt;=Paramètres!$C$5,"À déclarer","—"))</f>
        <v/>
      </c>
      <c r="I188" s="24"/>
    </row>
    <row r="189" spans="1:9" x14ac:dyDescent="0.25">
      <c r="A189" s="22" t="str">
        <f t="shared" si="5"/>
        <v/>
      </c>
      <c r="B189" s="23"/>
      <c r="C189" s="23"/>
      <c r="D189" s="24"/>
      <c r="E189" s="25"/>
      <c r="F189" s="26">
        <f>IF(E189="Oui",Paramètres!$C$4,0)</f>
        <v>0</v>
      </c>
      <c r="G189" s="26" t="str">
        <f>IF(B189="","",SUMIF(Paiements!$B$3:$B$506,B189,Paiements!$C$3:$C$506))</f>
        <v/>
      </c>
      <c r="H189" s="27" t="str">
        <f>IF(B189="","",IF(G189&gt;=Paramètres!$C$5,"À déclarer","—"))</f>
        <v/>
      </c>
      <c r="I189" s="24"/>
    </row>
    <row r="190" spans="1:9" x14ac:dyDescent="0.25">
      <c r="A190" s="22" t="str">
        <f t="shared" si="5"/>
        <v/>
      </c>
      <c r="B190" s="23"/>
      <c r="C190" s="23"/>
      <c r="D190" s="24"/>
      <c r="E190" s="25"/>
      <c r="F190" s="26">
        <f>IF(E190="Oui",Paramètres!$C$4,0)</f>
        <v>0</v>
      </c>
      <c r="G190" s="26" t="str">
        <f>IF(B190="","",SUMIF(Paiements!$B$3:$B$506,B190,Paiements!$C$3:$C$506))</f>
        <v/>
      </c>
      <c r="H190" s="27" t="str">
        <f>IF(B190="","",IF(G190&gt;=Paramètres!$C$5,"À déclarer","—"))</f>
        <v/>
      </c>
      <c r="I190" s="24"/>
    </row>
    <row r="191" spans="1:9" x14ac:dyDescent="0.25">
      <c r="A191" s="22" t="str">
        <f t="shared" si="5"/>
        <v/>
      </c>
      <c r="B191" s="23"/>
      <c r="C191" s="23"/>
      <c r="D191" s="24"/>
      <c r="E191" s="25"/>
      <c r="F191" s="26">
        <f>IF(E191="Oui",Paramètres!$C$4,0)</f>
        <v>0</v>
      </c>
      <c r="G191" s="26" t="str">
        <f>IF(B191="","",SUMIF(Paiements!$B$3:$B$506,B191,Paiements!$C$3:$C$506))</f>
        <v/>
      </c>
      <c r="H191" s="27" t="str">
        <f>IF(B191="","",IF(G191&gt;=Paramètres!$C$5,"À déclarer","—"))</f>
        <v/>
      </c>
      <c r="I191" s="24"/>
    </row>
    <row r="192" spans="1:9" x14ac:dyDescent="0.25">
      <c r="A192" s="22" t="str">
        <f t="shared" si="5"/>
        <v/>
      </c>
      <c r="B192" s="23"/>
      <c r="C192" s="23"/>
      <c r="D192" s="24"/>
      <c r="E192" s="25"/>
      <c r="F192" s="26">
        <f>IF(E192="Oui",Paramètres!$C$4,0)</f>
        <v>0</v>
      </c>
      <c r="G192" s="26" t="str">
        <f>IF(B192="","",SUMIF(Paiements!$B$3:$B$506,B192,Paiements!$C$3:$C$506))</f>
        <v/>
      </c>
      <c r="H192" s="27" t="str">
        <f>IF(B192="","",IF(G192&gt;=Paramètres!$C$5,"À déclarer","—"))</f>
        <v/>
      </c>
      <c r="I192" s="24"/>
    </row>
    <row r="193" spans="1:9" x14ac:dyDescent="0.25">
      <c r="A193" s="22" t="str">
        <f t="shared" si="5"/>
        <v/>
      </c>
      <c r="B193" s="23"/>
      <c r="C193" s="23"/>
      <c r="D193" s="24"/>
      <c r="E193" s="25"/>
      <c r="F193" s="26">
        <f>IF(E193="Oui",Paramètres!$C$4,0)</f>
        <v>0</v>
      </c>
      <c r="G193" s="26" t="str">
        <f>IF(B193="","",SUMIF(Paiements!$B$3:$B$506,B193,Paiements!$C$3:$C$506))</f>
        <v/>
      </c>
      <c r="H193" s="27" t="str">
        <f>IF(B193="","",IF(G193&gt;=Paramètres!$C$5,"À déclarer","—"))</f>
        <v/>
      </c>
      <c r="I193" s="24"/>
    </row>
    <row r="194" spans="1:9" x14ac:dyDescent="0.25">
      <c r="A194" s="22" t="str">
        <f t="shared" si="5"/>
        <v/>
      </c>
      <c r="B194" s="23"/>
      <c r="C194" s="23"/>
      <c r="D194" s="24"/>
      <c r="E194" s="25"/>
      <c r="F194" s="26">
        <f>IF(E194="Oui",Paramètres!$C$4,0)</f>
        <v>0</v>
      </c>
      <c r="G194" s="26" t="str">
        <f>IF(B194="","",SUMIF(Paiements!$B$3:$B$506,B194,Paiements!$C$3:$C$506))</f>
        <v/>
      </c>
      <c r="H194" s="27" t="str">
        <f>IF(B194="","",IF(G194&gt;=Paramètres!$C$5,"À déclarer","—"))</f>
        <v/>
      </c>
      <c r="I194" s="24"/>
    </row>
    <row r="195" spans="1:9" x14ac:dyDescent="0.25">
      <c r="A195" s="22" t="str">
        <f t="shared" ref="A195:A202" si="6">IF(B195="","",ROW()-2)</f>
        <v/>
      </c>
      <c r="B195" s="23"/>
      <c r="C195" s="23"/>
      <c r="D195" s="24"/>
      <c r="E195" s="25"/>
      <c r="F195" s="26">
        <f>IF(E195="Oui",Paramètres!$C$4,0)</f>
        <v>0</v>
      </c>
      <c r="G195" s="26" t="str">
        <f>IF(B195="","",SUMIF(Paiements!$B$3:$B$506,B195,Paiements!$C$3:$C$506))</f>
        <v/>
      </c>
      <c r="H195" s="27" t="str">
        <f>IF(B195="","",IF(G195&gt;=Paramètres!$C$5,"À déclarer","—"))</f>
        <v/>
      </c>
      <c r="I195" s="24"/>
    </row>
    <row r="196" spans="1:9" x14ac:dyDescent="0.25">
      <c r="A196" s="22" t="str">
        <f t="shared" si="6"/>
        <v/>
      </c>
      <c r="B196" s="23"/>
      <c r="C196" s="23"/>
      <c r="D196" s="24"/>
      <c r="E196" s="25"/>
      <c r="F196" s="26">
        <f>IF(E196="Oui",Paramètres!$C$4,0)</f>
        <v>0</v>
      </c>
      <c r="G196" s="26" t="str">
        <f>IF(B196="","",SUMIF(Paiements!$B$3:$B$506,B196,Paiements!$C$3:$C$506))</f>
        <v/>
      </c>
      <c r="H196" s="27" t="str">
        <f>IF(B196="","",IF(G196&gt;=Paramètres!$C$5,"À déclarer","—"))</f>
        <v/>
      </c>
      <c r="I196" s="24"/>
    </row>
    <row r="197" spans="1:9" x14ac:dyDescent="0.25">
      <c r="A197" s="22" t="str">
        <f t="shared" si="6"/>
        <v/>
      </c>
      <c r="B197" s="23"/>
      <c r="C197" s="23"/>
      <c r="D197" s="24"/>
      <c r="E197" s="25"/>
      <c r="F197" s="26">
        <f>IF(E197="Oui",Paramètres!$C$4,0)</f>
        <v>0</v>
      </c>
      <c r="G197" s="26" t="str">
        <f>IF(B197="","",SUMIF(Paiements!$B$3:$B$506,B197,Paiements!$C$3:$C$506))</f>
        <v/>
      </c>
      <c r="H197" s="27" t="str">
        <f>IF(B197="","",IF(G197&gt;=Paramètres!$C$5,"À déclarer","—"))</f>
        <v/>
      </c>
      <c r="I197" s="24"/>
    </row>
    <row r="198" spans="1:9" x14ac:dyDescent="0.25">
      <c r="A198" s="22" t="str">
        <f t="shared" si="6"/>
        <v/>
      </c>
      <c r="B198" s="23"/>
      <c r="C198" s="23"/>
      <c r="D198" s="24"/>
      <c r="E198" s="25"/>
      <c r="F198" s="26">
        <f>IF(E198="Oui",Paramètres!$C$4,0)</f>
        <v>0</v>
      </c>
      <c r="G198" s="26" t="str">
        <f>IF(B198="","",SUMIF(Paiements!$B$3:$B$506,B198,Paiements!$C$3:$C$506))</f>
        <v/>
      </c>
      <c r="H198" s="27" t="str">
        <f>IF(B198="","",IF(G198&gt;=Paramètres!$C$5,"À déclarer","—"))</f>
        <v/>
      </c>
      <c r="I198" s="24"/>
    </row>
    <row r="199" spans="1:9" x14ac:dyDescent="0.25">
      <c r="A199" s="22" t="str">
        <f t="shared" si="6"/>
        <v/>
      </c>
      <c r="B199" s="23"/>
      <c r="C199" s="23"/>
      <c r="D199" s="24"/>
      <c r="E199" s="25"/>
      <c r="F199" s="26">
        <f>IF(E199="Oui",Paramètres!$C$4,0)</f>
        <v>0</v>
      </c>
      <c r="G199" s="26" t="str">
        <f>IF(B199="","",SUMIF(Paiements!$B$3:$B$506,B199,Paiements!$C$3:$C$506))</f>
        <v/>
      </c>
      <c r="H199" s="27" t="str">
        <f>IF(B199="","",IF(G199&gt;=Paramètres!$C$5,"À déclarer","—"))</f>
        <v/>
      </c>
      <c r="I199" s="24"/>
    </row>
    <row r="200" spans="1:9" x14ac:dyDescent="0.25">
      <c r="A200" s="22" t="str">
        <f t="shared" si="6"/>
        <v/>
      </c>
      <c r="B200" s="23"/>
      <c r="C200" s="23"/>
      <c r="D200" s="24"/>
      <c r="E200" s="25"/>
      <c r="F200" s="26">
        <f>IF(E200="Oui",Paramètres!$C$4,0)</f>
        <v>0</v>
      </c>
      <c r="G200" s="26" t="str">
        <f>IF(B200="","",SUMIF(Paiements!$B$3:$B$506,B200,Paiements!$C$3:$C$506))</f>
        <v/>
      </c>
      <c r="H200" s="27" t="str">
        <f>IF(B200="","",IF(G200&gt;=Paramètres!$C$5,"À déclarer","—"))</f>
        <v/>
      </c>
      <c r="I200" s="24"/>
    </row>
    <row r="201" spans="1:9" x14ac:dyDescent="0.25">
      <c r="A201" s="22" t="str">
        <f t="shared" si="6"/>
        <v/>
      </c>
      <c r="B201" s="23"/>
      <c r="C201" s="23"/>
      <c r="D201" s="24"/>
      <c r="E201" s="25"/>
      <c r="F201" s="26">
        <f>IF(E201="Oui",Paramètres!$C$4,0)</f>
        <v>0</v>
      </c>
      <c r="G201" s="26" t="str">
        <f>IF(B201="","",SUMIF(Paiements!$B$3:$B$506,B201,Paiements!$C$3:$C$506))</f>
        <v/>
      </c>
      <c r="H201" s="27" t="str">
        <f>IF(B201="","",IF(G201&gt;=Paramètres!$C$5,"À déclarer","—"))</f>
        <v/>
      </c>
      <c r="I201" s="24"/>
    </row>
    <row r="202" spans="1:9" x14ac:dyDescent="0.25">
      <c r="A202" s="22" t="str">
        <f t="shared" si="6"/>
        <v/>
      </c>
      <c r="B202" s="23"/>
      <c r="C202" s="23"/>
      <c r="D202" s="24"/>
      <c r="E202" s="25"/>
      <c r="F202" s="26">
        <f>IF(E202="Oui",Paramètres!$C$4,0)</f>
        <v>0</v>
      </c>
      <c r="G202" s="26" t="str">
        <f>IF(B202="","",SUMIF(Paiements!$B$3:$B$506,B202,Paiements!$C$3:$C$506))</f>
        <v/>
      </c>
      <c r="H202" s="27" t="str">
        <f>IF(B202="","",IF(G202&gt;=Paramètres!$C$5,"À déclarer","—"))</f>
        <v/>
      </c>
      <c r="I202" s="24"/>
    </row>
  </sheetData>
  <mergeCells count="2">
    <mergeCell ref="A1:I1"/>
    <mergeCell ref="J1:M2"/>
  </mergeCells>
  <conditionalFormatting sqref="A3:I6 A7:F111 G7:I202 B112:F112 A113:F202">
    <cfRule type="expression" dxfId="0" priority="2">
      <formula>$H3="À déclarer"</formula>
    </cfRule>
  </conditionalFormatting>
  <dataValidations count="1">
    <dataValidation type="list" allowBlank="1" sqref="E3:E202" xr:uid="{00000000-0002-0000-0200-000000000000}">
      <formula1>"Oui,Non"</formula1>
      <formula2>0</formula2>
    </dataValidation>
  </dataValidations>
  <pageMargins left="0.35433070866141736" right="0.35433070866141736" top="0.39370078740157483" bottom="0.39370078740157483" header="0.70866141732283472" footer="0.51181102362204722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6"/>
  <sheetViews>
    <sheetView showGridLines="0" tabSelected="1" zoomScaleNormal="100" workbookViewId="0">
      <pane ySplit="2" topLeftCell="A202" activePane="bottomLeft" state="frozen"/>
      <selection pane="bottomLeft" activeCell="D233" sqref="D233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4" width="16" customWidth="1"/>
    <col min="5" max="5" width="30" customWidth="1"/>
    <col min="7" max="7" width="10.28515625" bestFit="1" customWidth="1"/>
  </cols>
  <sheetData>
    <row r="1" spans="1:5" ht="16.5" x14ac:dyDescent="0.25">
      <c r="A1" s="66" t="s">
        <v>67</v>
      </c>
      <c r="B1" s="66"/>
      <c r="C1" s="66"/>
      <c r="D1" s="66"/>
      <c r="E1" s="66"/>
    </row>
    <row r="2" spans="1:5" ht="30" customHeight="1" x14ac:dyDescent="0.25">
      <c r="A2" s="21" t="s">
        <v>68</v>
      </c>
      <c r="B2" s="21" t="s">
        <v>25</v>
      </c>
      <c r="C2" s="21" t="s">
        <v>69</v>
      </c>
      <c r="D2" s="21" t="s">
        <v>70</v>
      </c>
      <c r="E2" s="21" t="s">
        <v>71</v>
      </c>
    </row>
    <row r="3" spans="1:5" x14ac:dyDescent="0.25">
      <c r="A3" s="24" t="s">
        <v>34</v>
      </c>
      <c r="B3" s="23" t="s">
        <v>33</v>
      </c>
      <c r="C3" s="28">
        <v>9900</v>
      </c>
      <c r="D3" s="25" t="s">
        <v>72</v>
      </c>
      <c r="E3" s="23" t="s">
        <v>73</v>
      </c>
    </row>
    <row r="4" spans="1:5" x14ac:dyDescent="0.25">
      <c r="A4" s="24" t="s">
        <v>34</v>
      </c>
      <c r="B4" s="23" t="s">
        <v>36</v>
      </c>
      <c r="C4" s="28">
        <v>24800</v>
      </c>
      <c r="D4" s="25" t="s">
        <v>72</v>
      </c>
      <c r="E4" s="23" t="s">
        <v>73</v>
      </c>
    </row>
    <row r="5" spans="1:5" x14ac:dyDescent="0.25">
      <c r="A5" s="24" t="s">
        <v>34</v>
      </c>
      <c r="B5" s="23" t="s">
        <v>37</v>
      </c>
      <c r="C5" s="28">
        <v>4900</v>
      </c>
      <c r="D5" s="25" t="s">
        <v>72</v>
      </c>
      <c r="E5" s="23" t="s">
        <v>73</v>
      </c>
    </row>
    <row r="6" spans="1:5" x14ac:dyDescent="0.25">
      <c r="A6" s="24" t="s">
        <v>34</v>
      </c>
      <c r="B6" s="23" t="s">
        <v>87</v>
      </c>
      <c r="C6" s="28">
        <v>54000</v>
      </c>
      <c r="D6" s="25" t="s">
        <v>72</v>
      </c>
      <c r="E6" s="23" t="s">
        <v>73</v>
      </c>
    </row>
    <row r="7" spans="1:5" x14ac:dyDescent="0.25">
      <c r="A7" s="24" t="s">
        <v>34</v>
      </c>
      <c r="B7" s="23" t="s">
        <v>38</v>
      </c>
      <c r="C7" s="28">
        <v>17700</v>
      </c>
      <c r="D7" s="25" t="s">
        <v>72</v>
      </c>
      <c r="E7" s="23" t="s">
        <v>73</v>
      </c>
    </row>
    <row r="8" spans="1:5" x14ac:dyDescent="0.25">
      <c r="A8" s="24" t="s">
        <v>34</v>
      </c>
      <c r="B8" s="23" t="s">
        <v>89</v>
      </c>
      <c r="C8" s="28">
        <v>9100</v>
      </c>
      <c r="D8" s="25" t="s">
        <v>72</v>
      </c>
      <c r="E8" s="23" t="s">
        <v>73</v>
      </c>
    </row>
    <row r="9" spans="1:5" x14ac:dyDescent="0.25">
      <c r="A9" s="24" t="s">
        <v>34</v>
      </c>
      <c r="B9" s="23" t="s">
        <v>39</v>
      </c>
      <c r="C9" s="28">
        <v>28000</v>
      </c>
      <c r="D9" s="25" t="s">
        <v>72</v>
      </c>
      <c r="E9" s="23" t="s">
        <v>73</v>
      </c>
    </row>
    <row r="10" spans="1:5" x14ac:dyDescent="0.25">
      <c r="A10" s="24" t="s">
        <v>34</v>
      </c>
      <c r="B10" s="23" t="s">
        <v>40</v>
      </c>
      <c r="C10" s="28">
        <v>4900</v>
      </c>
      <c r="D10" s="25" t="s">
        <v>72</v>
      </c>
      <c r="E10" s="23" t="s">
        <v>73</v>
      </c>
    </row>
    <row r="11" spans="1:5" x14ac:dyDescent="0.25">
      <c r="A11" s="24" t="s">
        <v>34</v>
      </c>
      <c r="B11" s="23" t="s">
        <v>41</v>
      </c>
      <c r="C11" s="28">
        <v>1000</v>
      </c>
      <c r="D11" s="25" t="s">
        <v>72</v>
      </c>
      <c r="E11" s="23" t="s">
        <v>73</v>
      </c>
    </row>
    <row r="12" spans="1:5" x14ac:dyDescent="0.25">
      <c r="A12" s="24" t="s">
        <v>34</v>
      </c>
      <c r="B12" s="23" t="s">
        <v>42</v>
      </c>
      <c r="C12" s="28">
        <v>6000</v>
      </c>
      <c r="D12" s="25" t="s">
        <v>72</v>
      </c>
      <c r="E12" s="23" t="s">
        <v>73</v>
      </c>
    </row>
    <row r="13" spans="1:5" x14ac:dyDescent="0.25">
      <c r="A13" s="24" t="s">
        <v>34</v>
      </c>
      <c r="B13" s="23" t="s">
        <v>43</v>
      </c>
      <c r="C13" s="28">
        <v>4000</v>
      </c>
      <c r="D13" s="25" t="s">
        <v>72</v>
      </c>
      <c r="E13" s="23" t="s">
        <v>73</v>
      </c>
    </row>
    <row r="14" spans="1:5" x14ac:dyDescent="0.25">
      <c r="A14" s="24" t="s">
        <v>34</v>
      </c>
      <c r="B14" s="23" t="s">
        <v>44</v>
      </c>
      <c r="C14" s="28">
        <v>1000</v>
      </c>
      <c r="D14" s="25" t="s">
        <v>72</v>
      </c>
      <c r="E14" s="23" t="s">
        <v>73</v>
      </c>
    </row>
    <row r="15" spans="1:5" x14ac:dyDescent="0.25">
      <c r="A15" s="24" t="s">
        <v>34</v>
      </c>
      <c r="B15" s="23" t="s">
        <v>45</v>
      </c>
      <c r="C15" s="28">
        <v>23000</v>
      </c>
      <c r="D15" s="25" t="s">
        <v>72</v>
      </c>
      <c r="E15" s="23" t="s">
        <v>73</v>
      </c>
    </row>
    <row r="16" spans="1:5" x14ac:dyDescent="0.25">
      <c r="A16" s="24" t="s">
        <v>34</v>
      </c>
      <c r="B16" s="23" t="s">
        <v>46</v>
      </c>
      <c r="C16" s="28">
        <v>700</v>
      </c>
      <c r="D16" s="25" t="s">
        <v>72</v>
      </c>
      <c r="E16" s="23" t="s">
        <v>73</v>
      </c>
    </row>
    <row r="17" spans="1:5" x14ac:dyDescent="0.25">
      <c r="A17" s="24" t="s">
        <v>34</v>
      </c>
      <c r="B17" s="23" t="s">
        <v>47</v>
      </c>
      <c r="C17" s="28">
        <v>2800</v>
      </c>
      <c r="D17" s="25" t="s">
        <v>72</v>
      </c>
      <c r="E17" s="23" t="s">
        <v>73</v>
      </c>
    </row>
    <row r="18" spans="1:5" x14ac:dyDescent="0.25">
      <c r="A18" s="24" t="s">
        <v>34</v>
      </c>
      <c r="B18" s="23" t="s">
        <v>90</v>
      </c>
      <c r="C18" s="28">
        <v>10000</v>
      </c>
      <c r="D18" s="25" t="s">
        <v>72</v>
      </c>
      <c r="E18" s="23" t="s">
        <v>73</v>
      </c>
    </row>
    <row r="19" spans="1:5" x14ac:dyDescent="0.25">
      <c r="A19" s="24" t="s">
        <v>34</v>
      </c>
      <c r="B19" s="23" t="s">
        <v>48</v>
      </c>
      <c r="C19" s="28">
        <v>9000</v>
      </c>
      <c r="D19" s="25" t="s">
        <v>72</v>
      </c>
      <c r="E19" s="23" t="s">
        <v>73</v>
      </c>
    </row>
    <row r="20" spans="1:5" x14ac:dyDescent="0.25">
      <c r="A20" s="24" t="s">
        <v>34</v>
      </c>
      <c r="B20" s="23" t="s">
        <v>49</v>
      </c>
      <c r="C20" s="28">
        <v>9900</v>
      </c>
      <c r="D20" s="25" t="s">
        <v>72</v>
      </c>
      <c r="E20" s="23" t="s">
        <v>73</v>
      </c>
    </row>
    <row r="21" spans="1:5" x14ac:dyDescent="0.25">
      <c r="A21" s="24" t="s">
        <v>34</v>
      </c>
      <c r="B21" s="23" t="s">
        <v>50</v>
      </c>
      <c r="C21" s="28">
        <v>4000</v>
      </c>
      <c r="D21" s="25" t="s">
        <v>72</v>
      </c>
      <c r="E21" s="23" t="s">
        <v>73</v>
      </c>
    </row>
    <row r="22" spans="1:5" x14ac:dyDescent="0.25">
      <c r="A22" s="24" t="s">
        <v>34</v>
      </c>
      <c r="B22" s="23" t="s">
        <v>51</v>
      </c>
      <c r="C22" s="28">
        <v>5000</v>
      </c>
      <c r="D22" s="25" t="s">
        <v>72</v>
      </c>
      <c r="E22" s="23" t="s">
        <v>73</v>
      </c>
    </row>
    <row r="23" spans="1:5" x14ac:dyDescent="0.25">
      <c r="A23" s="24" t="s">
        <v>34</v>
      </c>
      <c r="B23" s="23" t="s">
        <v>52</v>
      </c>
      <c r="C23" s="28">
        <v>22000</v>
      </c>
      <c r="D23" s="25" t="s">
        <v>72</v>
      </c>
      <c r="E23" s="23" t="s">
        <v>73</v>
      </c>
    </row>
    <row r="24" spans="1:5" x14ac:dyDescent="0.25">
      <c r="A24" s="24" t="s">
        <v>34</v>
      </c>
      <c r="B24" s="23" t="s">
        <v>53</v>
      </c>
      <c r="C24" s="28">
        <v>8000</v>
      </c>
      <c r="D24" s="25" t="s">
        <v>72</v>
      </c>
      <c r="E24" s="23" t="s">
        <v>73</v>
      </c>
    </row>
    <row r="25" spans="1:5" x14ac:dyDescent="0.25">
      <c r="A25" s="24" t="s">
        <v>34</v>
      </c>
      <c r="B25" s="23" t="s">
        <v>54</v>
      </c>
      <c r="C25" s="28">
        <v>1000</v>
      </c>
      <c r="D25" s="25" t="s">
        <v>72</v>
      </c>
      <c r="E25" s="23" t="s">
        <v>73</v>
      </c>
    </row>
    <row r="26" spans="1:5" x14ac:dyDescent="0.25">
      <c r="A26" s="24" t="s">
        <v>34</v>
      </c>
      <c r="B26" s="23" t="s">
        <v>91</v>
      </c>
      <c r="C26" s="28">
        <v>1000</v>
      </c>
      <c r="D26" s="25" t="s">
        <v>72</v>
      </c>
      <c r="E26" s="23" t="s">
        <v>73</v>
      </c>
    </row>
    <row r="27" spans="1:5" x14ac:dyDescent="0.25">
      <c r="A27" s="24" t="s">
        <v>34</v>
      </c>
      <c r="B27" s="23" t="s">
        <v>55</v>
      </c>
      <c r="C27" s="28">
        <v>8000</v>
      </c>
      <c r="D27" s="25" t="s">
        <v>72</v>
      </c>
      <c r="E27" s="23" t="s">
        <v>73</v>
      </c>
    </row>
    <row r="28" spans="1:5" x14ac:dyDescent="0.25">
      <c r="A28" s="24" t="s">
        <v>34</v>
      </c>
      <c r="B28" s="23" t="s">
        <v>56</v>
      </c>
      <c r="C28" s="28">
        <v>1000</v>
      </c>
      <c r="D28" s="25" t="s">
        <v>72</v>
      </c>
      <c r="E28" s="23" t="s">
        <v>73</v>
      </c>
    </row>
    <row r="29" spans="1:5" x14ac:dyDescent="0.25">
      <c r="A29" s="24" t="s">
        <v>34</v>
      </c>
      <c r="B29" s="23" t="s">
        <v>57</v>
      </c>
      <c r="C29" s="28">
        <v>2000</v>
      </c>
      <c r="D29" s="25" t="s">
        <v>72</v>
      </c>
      <c r="E29" s="23" t="s">
        <v>73</v>
      </c>
    </row>
    <row r="30" spans="1:5" x14ac:dyDescent="0.25">
      <c r="A30" s="24" t="s">
        <v>34</v>
      </c>
      <c r="B30" s="23" t="s">
        <v>195</v>
      </c>
      <c r="C30" s="28">
        <v>1000</v>
      </c>
      <c r="D30" s="25" t="s">
        <v>72</v>
      </c>
      <c r="E30" s="23" t="s">
        <v>73</v>
      </c>
    </row>
    <row r="31" spans="1:5" x14ac:dyDescent="0.25">
      <c r="A31" s="24" t="s">
        <v>34</v>
      </c>
      <c r="B31" s="23" t="s">
        <v>228</v>
      </c>
      <c r="C31" s="28">
        <v>8000</v>
      </c>
      <c r="D31" s="25" t="s">
        <v>72</v>
      </c>
      <c r="E31" s="23" t="s">
        <v>73</v>
      </c>
    </row>
    <row r="32" spans="1:5" x14ac:dyDescent="0.25">
      <c r="A32" s="24" t="s">
        <v>34</v>
      </c>
      <c r="B32" s="23" t="s">
        <v>58</v>
      </c>
      <c r="C32" s="28">
        <v>8000</v>
      </c>
      <c r="D32" s="25" t="s">
        <v>72</v>
      </c>
      <c r="E32" s="23" t="s">
        <v>73</v>
      </c>
    </row>
    <row r="33" spans="1:5" x14ac:dyDescent="0.25">
      <c r="A33" s="24" t="s">
        <v>34</v>
      </c>
      <c r="B33" s="23" t="s">
        <v>59</v>
      </c>
      <c r="C33" s="28">
        <v>16500</v>
      </c>
      <c r="D33" s="25" t="s">
        <v>72</v>
      </c>
      <c r="E33" s="23" t="s">
        <v>73</v>
      </c>
    </row>
    <row r="34" spans="1:5" x14ac:dyDescent="0.25">
      <c r="A34" s="24" t="s">
        <v>34</v>
      </c>
      <c r="B34" s="23" t="s">
        <v>60</v>
      </c>
      <c r="C34" s="28">
        <v>21000</v>
      </c>
      <c r="D34" s="25" t="s">
        <v>72</v>
      </c>
      <c r="E34" s="23" t="s">
        <v>73</v>
      </c>
    </row>
    <row r="35" spans="1:5" x14ac:dyDescent="0.25">
      <c r="A35" s="24" t="s">
        <v>34</v>
      </c>
      <c r="B35" s="23" t="s">
        <v>61</v>
      </c>
      <c r="C35" s="28">
        <v>21000</v>
      </c>
      <c r="D35" s="25" t="s">
        <v>72</v>
      </c>
      <c r="E35" s="23" t="s">
        <v>73</v>
      </c>
    </row>
    <row r="36" spans="1:5" x14ac:dyDescent="0.25">
      <c r="A36" s="24" t="s">
        <v>34</v>
      </c>
      <c r="B36" s="23" t="s">
        <v>62</v>
      </c>
      <c r="C36" s="28">
        <v>700</v>
      </c>
      <c r="D36" s="25" t="s">
        <v>72</v>
      </c>
      <c r="E36" s="23" t="s">
        <v>73</v>
      </c>
    </row>
    <row r="37" spans="1:5" x14ac:dyDescent="0.25">
      <c r="A37" s="24" t="s">
        <v>34</v>
      </c>
      <c r="B37" s="23" t="s">
        <v>63</v>
      </c>
      <c r="C37" s="28">
        <v>21000</v>
      </c>
      <c r="D37" s="25" t="s">
        <v>72</v>
      </c>
      <c r="E37" s="23" t="s">
        <v>73</v>
      </c>
    </row>
    <row r="38" spans="1:5" x14ac:dyDescent="0.25">
      <c r="A38" s="24" t="s">
        <v>34</v>
      </c>
      <c r="B38" s="23" t="s">
        <v>64</v>
      </c>
      <c r="C38" s="28">
        <v>8400</v>
      </c>
      <c r="D38" s="25" t="s">
        <v>72</v>
      </c>
      <c r="E38" s="23" t="s">
        <v>73</v>
      </c>
    </row>
    <row r="39" spans="1:5" x14ac:dyDescent="0.25">
      <c r="A39" s="24" t="s">
        <v>34</v>
      </c>
      <c r="B39" s="23" t="s">
        <v>65</v>
      </c>
      <c r="C39" s="28">
        <v>3000</v>
      </c>
      <c r="D39" s="25" t="s">
        <v>72</v>
      </c>
      <c r="E39" s="23" t="s">
        <v>73</v>
      </c>
    </row>
    <row r="40" spans="1:5" x14ac:dyDescent="0.25">
      <c r="A40" s="24" t="s">
        <v>34</v>
      </c>
      <c r="B40" s="23" t="s">
        <v>200</v>
      </c>
      <c r="C40" s="28">
        <v>8000</v>
      </c>
      <c r="D40" s="25" t="s">
        <v>72</v>
      </c>
      <c r="E40" s="23" t="s">
        <v>73</v>
      </c>
    </row>
    <row r="41" spans="1:5" x14ac:dyDescent="0.25">
      <c r="A41" s="24">
        <v>46227</v>
      </c>
      <c r="B41" s="23" t="s">
        <v>184</v>
      </c>
      <c r="C41" s="28">
        <v>3500</v>
      </c>
      <c r="D41" s="25" t="s">
        <v>192</v>
      </c>
      <c r="E41" s="23"/>
    </row>
    <row r="42" spans="1:5" x14ac:dyDescent="0.25">
      <c r="A42" s="24" t="s">
        <v>34</v>
      </c>
      <c r="B42" s="23" t="s">
        <v>66</v>
      </c>
      <c r="C42" s="28">
        <v>1000</v>
      </c>
      <c r="D42" s="25" t="s">
        <v>72</v>
      </c>
      <c r="E42" s="23" t="s">
        <v>73</v>
      </c>
    </row>
    <row r="43" spans="1:5" x14ac:dyDescent="0.25">
      <c r="A43" s="24" t="s">
        <v>191</v>
      </c>
      <c r="B43" s="23" t="s">
        <v>42</v>
      </c>
      <c r="C43" s="28">
        <v>1000</v>
      </c>
      <c r="D43" s="25" t="s">
        <v>192</v>
      </c>
      <c r="E43" s="23"/>
    </row>
    <row r="44" spans="1:5" x14ac:dyDescent="0.25">
      <c r="A44" s="24">
        <v>46228</v>
      </c>
      <c r="B44" s="23" t="s">
        <v>58</v>
      </c>
      <c r="C44" s="28">
        <v>3000</v>
      </c>
      <c r="D44" s="25" t="s">
        <v>192</v>
      </c>
      <c r="E44" s="23"/>
    </row>
    <row r="45" spans="1:5" x14ac:dyDescent="0.25">
      <c r="A45" s="24">
        <v>46229</v>
      </c>
      <c r="B45" s="23" t="s">
        <v>66</v>
      </c>
      <c r="C45" s="28">
        <v>4000</v>
      </c>
      <c r="D45" s="25" t="s">
        <v>192</v>
      </c>
      <c r="E45" s="23" t="s">
        <v>194</v>
      </c>
    </row>
    <row r="46" spans="1:5" x14ac:dyDescent="0.25">
      <c r="A46" s="24">
        <v>46230</v>
      </c>
      <c r="B46" s="23" t="s">
        <v>52</v>
      </c>
      <c r="C46" s="28">
        <v>5000</v>
      </c>
      <c r="D46" s="25" t="s">
        <v>192</v>
      </c>
      <c r="E46" s="23"/>
    </row>
    <row r="47" spans="1:5" x14ac:dyDescent="0.25">
      <c r="A47" s="24">
        <v>46230</v>
      </c>
      <c r="B47" s="23" t="s">
        <v>55</v>
      </c>
      <c r="C47" s="28">
        <v>1000</v>
      </c>
      <c r="D47" s="25" t="s">
        <v>193</v>
      </c>
      <c r="E47" s="23"/>
    </row>
    <row r="48" spans="1:5" x14ac:dyDescent="0.25">
      <c r="A48" s="24">
        <v>46232</v>
      </c>
      <c r="B48" s="23" t="s">
        <v>55</v>
      </c>
      <c r="C48" s="28">
        <v>6000</v>
      </c>
      <c r="D48" s="25" t="s">
        <v>193</v>
      </c>
      <c r="E48" s="23"/>
    </row>
    <row r="49" spans="1:5" x14ac:dyDescent="0.25">
      <c r="A49" s="24">
        <v>46232</v>
      </c>
      <c r="B49" s="23" t="s">
        <v>57</v>
      </c>
      <c r="C49" s="28">
        <v>1000</v>
      </c>
      <c r="D49" s="25" t="s">
        <v>193</v>
      </c>
      <c r="E49" s="23"/>
    </row>
    <row r="50" spans="1:5" x14ac:dyDescent="0.25">
      <c r="A50" s="24">
        <v>46232</v>
      </c>
      <c r="B50" s="23" t="s">
        <v>58</v>
      </c>
      <c r="C50" s="28">
        <v>4000</v>
      </c>
      <c r="D50" s="25" t="s">
        <v>192</v>
      </c>
      <c r="E50" s="23"/>
    </row>
    <row r="51" spans="1:5" x14ac:dyDescent="0.25">
      <c r="A51" s="24">
        <v>46232</v>
      </c>
      <c r="B51" s="23" t="s">
        <v>199</v>
      </c>
      <c r="C51" s="28">
        <v>1000</v>
      </c>
      <c r="D51" s="25" t="s">
        <v>193</v>
      </c>
      <c r="E51" s="23"/>
    </row>
    <row r="52" spans="1:5" x14ac:dyDescent="0.25">
      <c r="A52" s="24">
        <v>46232</v>
      </c>
      <c r="B52" s="23" t="s">
        <v>65</v>
      </c>
      <c r="C52" s="28">
        <v>4000</v>
      </c>
      <c r="D52" s="25" t="s">
        <v>193</v>
      </c>
      <c r="E52" s="23"/>
    </row>
    <row r="53" spans="1:5" x14ac:dyDescent="0.25">
      <c r="A53" s="24">
        <v>46232</v>
      </c>
      <c r="B53" s="23" t="s">
        <v>186</v>
      </c>
      <c r="C53" s="28">
        <v>15000</v>
      </c>
      <c r="D53" s="25" t="s">
        <v>193</v>
      </c>
      <c r="E53" s="23"/>
    </row>
    <row r="54" spans="1:5" x14ac:dyDescent="0.25">
      <c r="A54" s="24">
        <v>46232</v>
      </c>
      <c r="B54" s="23" t="s">
        <v>200</v>
      </c>
      <c r="C54" s="28">
        <v>7000</v>
      </c>
      <c r="D54" s="25" t="s">
        <v>192</v>
      </c>
      <c r="E54" s="23"/>
    </row>
    <row r="55" spans="1:5" x14ac:dyDescent="0.25">
      <c r="A55" s="24">
        <v>46232</v>
      </c>
      <c r="B55" s="23" t="s">
        <v>66</v>
      </c>
      <c r="C55" s="28">
        <v>2000</v>
      </c>
      <c r="D55" s="25" t="s">
        <v>192</v>
      </c>
      <c r="E55" s="23" t="s">
        <v>201</v>
      </c>
    </row>
    <row r="56" spans="1:5" x14ac:dyDescent="0.25">
      <c r="A56" s="24">
        <v>46232</v>
      </c>
      <c r="B56" s="23" t="s">
        <v>90</v>
      </c>
      <c r="C56" s="28">
        <v>15000</v>
      </c>
      <c r="D56" s="25" t="s">
        <v>193</v>
      </c>
      <c r="E56" s="23"/>
    </row>
    <row r="57" spans="1:5" x14ac:dyDescent="0.25">
      <c r="A57" s="24">
        <v>46232</v>
      </c>
      <c r="B57" s="23" t="s">
        <v>148</v>
      </c>
      <c r="C57" s="28">
        <v>16000</v>
      </c>
      <c r="D57" s="25" t="s">
        <v>193</v>
      </c>
      <c r="E57" s="23"/>
    </row>
    <row r="58" spans="1:5" x14ac:dyDescent="0.25">
      <c r="A58" s="24">
        <v>46233</v>
      </c>
      <c r="B58" s="23" t="s">
        <v>39</v>
      </c>
      <c r="C58" s="28">
        <v>2000</v>
      </c>
      <c r="D58" s="25" t="s">
        <v>192</v>
      </c>
      <c r="E58" s="23"/>
    </row>
    <row r="59" spans="1:5" x14ac:dyDescent="0.25">
      <c r="A59" s="24">
        <v>46233</v>
      </c>
      <c r="B59" s="23" t="s">
        <v>49</v>
      </c>
      <c r="C59" s="28">
        <v>5000</v>
      </c>
      <c r="D59" s="25" t="s">
        <v>193</v>
      </c>
      <c r="E59" s="23"/>
    </row>
    <row r="60" spans="1:5" x14ac:dyDescent="0.25">
      <c r="A60" s="24">
        <v>46233</v>
      </c>
      <c r="B60" s="23" t="s">
        <v>213</v>
      </c>
      <c r="C60" s="28">
        <v>30000</v>
      </c>
      <c r="D60" s="25" t="s">
        <v>193</v>
      </c>
      <c r="E60" s="23"/>
    </row>
    <row r="61" spans="1:5" x14ac:dyDescent="0.25">
      <c r="A61" s="24">
        <v>46233</v>
      </c>
      <c r="B61" s="23" t="s">
        <v>45</v>
      </c>
      <c r="C61" s="28">
        <v>8000</v>
      </c>
      <c r="D61" s="25" t="s">
        <v>193</v>
      </c>
      <c r="E61" s="23"/>
    </row>
    <row r="62" spans="1:5" x14ac:dyDescent="0.25">
      <c r="A62" s="24">
        <v>46234</v>
      </c>
      <c r="B62" s="23" t="s">
        <v>66</v>
      </c>
      <c r="C62" s="28">
        <v>1000</v>
      </c>
      <c r="D62" s="25" t="s">
        <v>192</v>
      </c>
      <c r="E62" s="23"/>
    </row>
    <row r="63" spans="1:5" x14ac:dyDescent="0.25">
      <c r="A63" s="24">
        <v>46234</v>
      </c>
      <c r="B63" s="23" t="s">
        <v>89</v>
      </c>
      <c r="C63" s="28">
        <v>4900</v>
      </c>
      <c r="D63" s="25" t="s">
        <v>192</v>
      </c>
      <c r="E63" s="23"/>
    </row>
    <row r="64" spans="1:5" x14ac:dyDescent="0.25">
      <c r="A64" s="24">
        <v>46234</v>
      </c>
      <c r="B64" s="23" t="s">
        <v>90</v>
      </c>
      <c r="C64" s="28">
        <v>5000</v>
      </c>
      <c r="D64" s="25" t="s">
        <v>193</v>
      </c>
      <c r="E64" s="23"/>
    </row>
    <row r="65" spans="1:5" x14ac:dyDescent="0.25">
      <c r="A65" s="24">
        <v>46235</v>
      </c>
      <c r="B65" s="23" t="s">
        <v>53</v>
      </c>
      <c r="C65" s="28">
        <v>5000</v>
      </c>
      <c r="D65" s="25" t="s">
        <v>192</v>
      </c>
      <c r="E65" s="23"/>
    </row>
    <row r="66" spans="1:5" x14ac:dyDescent="0.25">
      <c r="A66" s="24">
        <v>46235</v>
      </c>
      <c r="B66" s="23" t="s">
        <v>182</v>
      </c>
      <c r="C66" s="28">
        <v>2000</v>
      </c>
      <c r="D66" s="25" t="s">
        <v>192</v>
      </c>
      <c r="E66" s="23"/>
    </row>
    <row r="67" spans="1:5" x14ac:dyDescent="0.25">
      <c r="A67" s="24">
        <v>46235</v>
      </c>
      <c r="B67" s="23" t="s">
        <v>66</v>
      </c>
      <c r="C67" s="28">
        <v>1000</v>
      </c>
      <c r="D67" s="25" t="s">
        <v>192</v>
      </c>
      <c r="E67" s="23"/>
    </row>
    <row r="68" spans="1:5" x14ac:dyDescent="0.25">
      <c r="A68" s="24">
        <v>46236</v>
      </c>
      <c r="B68" s="23" t="s">
        <v>66</v>
      </c>
      <c r="C68" s="28">
        <v>2000</v>
      </c>
      <c r="D68" s="25" t="s">
        <v>192</v>
      </c>
      <c r="E68" s="23"/>
    </row>
    <row r="69" spans="1:5" x14ac:dyDescent="0.25">
      <c r="A69" s="24">
        <v>46237</v>
      </c>
      <c r="B69" s="23" t="s">
        <v>52</v>
      </c>
      <c r="C69" s="28">
        <v>7000</v>
      </c>
      <c r="D69" s="25" t="s">
        <v>192</v>
      </c>
      <c r="E69" s="23"/>
    </row>
    <row r="70" spans="1:5" x14ac:dyDescent="0.25">
      <c r="A70" s="24">
        <v>46237</v>
      </c>
      <c r="B70" s="23" t="s">
        <v>203</v>
      </c>
      <c r="C70" s="28">
        <v>1000</v>
      </c>
      <c r="D70" s="25" t="s">
        <v>193</v>
      </c>
      <c r="E70" s="23"/>
    </row>
    <row r="71" spans="1:5" x14ac:dyDescent="0.25">
      <c r="A71" s="24">
        <v>46237</v>
      </c>
      <c r="B71" s="23" t="s">
        <v>204</v>
      </c>
      <c r="C71" s="28">
        <v>1000</v>
      </c>
      <c r="D71" s="25" t="s">
        <v>193</v>
      </c>
      <c r="E71" s="23"/>
    </row>
    <row r="72" spans="1:5" x14ac:dyDescent="0.25">
      <c r="A72" s="24">
        <v>46237</v>
      </c>
      <c r="B72" s="23" t="s">
        <v>55</v>
      </c>
      <c r="C72" s="28">
        <v>1000</v>
      </c>
      <c r="D72" s="25" t="s">
        <v>193</v>
      </c>
      <c r="E72" s="23"/>
    </row>
    <row r="73" spans="1:5" x14ac:dyDescent="0.25">
      <c r="A73" s="24">
        <v>46237</v>
      </c>
      <c r="B73" s="23" t="s">
        <v>43</v>
      </c>
      <c r="C73" s="28">
        <v>700</v>
      </c>
      <c r="D73" s="25" t="s">
        <v>193</v>
      </c>
      <c r="E73" s="23"/>
    </row>
    <row r="74" spans="1:5" x14ac:dyDescent="0.25">
      <c r="A74" s="24">
        <v>46237</v>
      </c>
      <c r="B74" s="23" t="s">
        <v>47</v>
      </c>
      <c r="C74" s="28">
        <v>2100</v>
      </c>
      <c r="D74" s="25" t="s">
        <v>193</v>
      </c>
      <c r="E74" s="23"/>
    </row>
    <row r="75" spans="1:5" x14ac:dyDescent="0.25">
      <c r="A75" s="24">
        <v>46237</v>
      </c>
      <c r="B75" s="23" t="s">
        <v>45</v>
      </c>
      <c r="C75" s="28">
        <v>2000</v>
      </c>
      <c r="D75" s="25" t="s">
        <v>193</v>
      </c>
      <c r="E75" s="23"/>
    </row>
    <row r="76" spans="1:5" x14ac:dyDescent="0.25">
      <c r="A76" s="24">
        <v>46237</v>
      </c>
      <c r="B76" s="23" t="s">
        <v>189</v>
      </c>
      <c r="C76" s="28">
        <v>4000</v>
      </c>
      <c r="D76" s="25" t="s">
        <v>193</v>
      </c>
      <c r="E76" s="23"/>
    </row>
    <row r="77" spans="1:5" x14ac:dyDescent="0.25">
      <c r="A77" s="24">
        <v>46237</v>
      </c>
      <c r="B77" s="23" t="s">
        <v>48</v>
      </c>
      <c r="C77" s="28">
        <v>5000</v>
      </c>
      <c r="D77" s="25" t="s">
        <v>192</v>
      </c>
      <c r="E77" s="23"/>
    </row>
    <row r="78" spans="1:5" x14ac:dyDescent="0.25">
      <c r="A78" s="24">
        <v>46237</v>
      </c>
      <c r="B78" s="23" t="s">
        <v>48</v>
      </c>
      <c r="C78" s="28">
        <v>15000</v>
      </c>
      <c r="D78" s="25" t="s">
        <v>192</v>
      </c>
      <c r="E78" s="23" t="s">
        <v>245</v>
      </c>
    </row>
    <row r="79" spans="1:5" x14ac:dyDescent="0.25">
      <c r="A79" s="24">
        <v>46237</v>
      </c>
      <c r="B79" s="23" t="s">
        <v>48</v>
      </c>
      <c r="C79" s="28">
        <v>6000</v>
      </c>
      <c r="D79" s="25" t="s">
        <v>192</v>
      </c>
      <c r="E79" s="23" t="s">
        <v>245</v>
      </c>
    </row>
    <row r="80" spans="1:5" x14ac:dyDescent="0.25">
      <c r="A80" s="24">
        <v>46238</v>
      </c>
      <c r="B80" s="23" t="s">
        <v>182</v>
      </c>
      <c r="C80" s="28">
        <v>1000</v>
      </c>
      <c r="D80" s="25" t="s">
        <v>192</v>
      </c>
      <c r="E80" s="23"/>
    </row>
    <row r="81" spans="1:5" x14ac:dyDescent="0.25">
      <c r="A81" s="24">
        <v>46238</v>
      </c>
      <c r="B81" s="23" t="s">
        <v>148</v>
      </c>
      <c r="C81" s="28">
        <v>5000</v>
      </c>
      <c r="D81" s="25" t="s">
        <v>193</v>
      </c>
      <c r="E81" s="23"/>
    </row>
    <row r="82" spans="1:5" x14ac:dyDescent="0.25">
      <c r="A82" s="24">
        <v>46238</v>
      </c>
      <c r="B82" s="23" t="s">
        <v>87</v>
      </c>
      <c r="C82" s="28">
        <v>11000</v>
      </c>
      <c r="D82" s="25" t="s">
        <v>193</v>
      </c>
      <c r="E82" s="23"/>
    </row>
    <row r="83" spans="1:5" x14ac:dyDescent="0.25">
      <c r="A83" s="24">
        <v>46238</v>
      </c>
      <c r="B83" s="23" t="s">
        <v>45</v>
      </c>
      <c r="C83" s="28">
        <v>2000</v>
      </c>
      <c r="D83" s="25" t="s">
        <v>193</v>
      </c>
      <c r="E83" s="23"/>
    </row>
    <row r="84" spans="1:5" x14ac:dyDescent="0.25">
      <c r="A84" s="24">
        <v>46238</v>
      </c>
      <c r="B84" s="23" t="s">
        <v>208</v>
      </c>
      <c r="C84" s="28">
        <v>1000</v>
      </c>
      <c r="D84" s="25" t="s">
        <v>193</v>
      </c>
      <c r="E84" s="23"/>
    </row>
    <row r="85" spans="1:5" x14ac:dyDescent="0.25">
      <c r="A85" s="24">
        <v>46238</v>
      </c>
      <c r="B85" s="23" t="s">
        <v>39</v>
      </c>
      <c r="C85" s="28">
        <v>2000</v>
      </c>
      <c r="D85" s="25" t="s">
        <v>193</v>
      </c>
      <c r="E85" s="23"/>
    </row>
    <row r="86" spans="1:5" x14ac:dyDescent="0.25">
      <c r="A86" s="24">
        <v>46238</v>
      </c>
      <c r="B86" s="23" t="s">
        <v>209</v>
      </c>
      <c r="C86" s="28">
        <v>1000</v>
      </c>
      <c r="D86" s="25" t="s">
        <v>193</v>
      </c>
      <c r="E86" s="23"/>
    </row>
    <row r="87" spans="1:5" x14ac:dyDescent="0.25">
      <c r="A87" s="24">
        <v>46238</v>
      </c>
      <c r="B87" s="23" t="s">
        <v>33</v>
      </c>
      <c r="C87" s="28">
        <v>11100</v>
      </c>
      <c r="D87" s="25" t="s">
        <v>193</v>
      </c>
      <c r="E87" s="23"/>
    </row>
    <row r="88" spans="1:5" x14ac:dyDescent="0.25">
      <c r="A88" s="24">
        <v>46238</v>
      </c>
      <c r="B88" s="23" t="s">
        <v>36</v>
      </c>
      <c r="C88" s="28">
        <v>4900</v>
      </c>
      <c r="D88" s="25" t="s">
        <v>193</v>
      </c>
      <c r="E88" s="23"/>
    </row>
    <row r="89" spans="1:5" x14ac:dyDescent="0.25">
      <c r="A89" s="24">
        <v>46242</v>
      </c>
      <c r="B89" s="23" t="s">
        <v>39</v>
      </c>
      <c r="C89" s="28">
        <v>2000</v>
      </c>
      <c r="D89" s="25" t="s">
        <v>193</v>
      </c>
      <c r="E89" s="23"/>
    </row>
    <row r="90" spans="1:5" x14ac:dyDescent="0.25">
      <c r="A90" s="24">
        <v>46238</v>
      </c>
      <c r="B90" s="23" t="s">
        <v>211</v>
      </c>
      <c r="C90" s="28">
        <v>1000</v>
      </c>
      <c r="D90" s="25" t="s">
        <v>193</v>
      </c>
      <c r="E90" s="23"/>
    </row>
    <row r="91" spans="1:5" x14ac:dyDescent="0.25">
      <c r="A91" s="24">
        <v>46238</v>
      </c>
      <c r="B91" s="23" t="s">
        <v>63</v>
      </c>
      <c r="C91" s="28">
        <v>5000</v>
      </c>
      <c r="D91" s="25" t="s">
        <v>193</v>
      </c>
      <c r="E91" s="23"/>
    </row>
    <row r="92" spans="1:5" x14ac:dyDescent="0.25">
      <c r="A92" s="24">
        <v>46204</v>
      </c>
      <c r="B92" s="23" t="s">
        <v>43</v>
      </c>
      <c r="C92" s="28">
        <v>2000</v>
      </c>
      <c r="D92" s="25" t="s">
        <v>193</v>
      </c>
      <c r="E92" s="23"/>
    </row>
    <row r="93" spans="1:5" x14ac:dyDescent="0.25">
      <c r="A93" s="24">
        <v>46240</v>
      </c>
      <c r="B93" s="23" t="s">
        <v>47</v>
      </c>
      <c r="C93" s="28">
        <v>700</v>
      </c>
      <c r="D93" s="25" t="s">
        <v>193</v>
      </c>
      <c r="E93" s="23"/>
    </row>
    <row r="94" spans="1:5" x14ac:dyDescent="0.25">
      <c r="A94" s="24">
        <v>46238</v>
      </c>
      <c r="B94" s="23" t="s">
        <v>200</v>
      </c>
      <c r="C94" s="28">
        <v>11000</v>
      </c>
      <c r="D94" s="25" t="s">
        <v>193</v>
      </c>
      <c r="E94" s="23"/>
    </row>
    <row r="95" spans="1:5" x14ac:dyDescent="0.25">
      <c r="A95" s="24">
        <v>46238</v>
      </c>
      <c r="B95" s="23" t="s">
        <v>215</v>
      </c>
      <c r="C95" s="28">
        <v>4000</v>
      </c>
      <c r="D95" s="25" t="s">
        <v>193</v>
      </c>
      <c r="E95" s="23"/>
    </row>
    <row r="96" spans="1:5" s="34" customFormat="1" x14ac:dyDescent="0.25">
      <c r="A96" s="30">
        <v>46239</v>
      </c>
      <c r="B96" s="31" t="s">
        <v>216</v>
      </c>
      <c r="C96" s="32">
        <v>5000</v>
      </c>
      <c r="D96" s="33" t="s">
        <v>193</v>
      </c>
      <c r="E96" s="31"/>
    </row>
    <row r="97" spans="1:8" x14ac:dyDescent="0.25">
      <c r="A97" s="24">
        <v>46239</v>
      </c>
      <c r="B97" s="23" t="s">
        <v>50</v>
      </c>
      <c r="C97" s="28">
        <v>1000</v>
      </c>
      <c r="D97" s="25" t="s">
        <v>193</v>
      </c>
      <c r="E97" s="23"/>
    </row>
    <row r="98" spans="1:8" x14ac:dyDescent="0.25">
      <c r="A98" s="24">
        <v>46239</v>
      </c>
      <c r="B98" s="23" t="s">
        <v>43</v>
      </c>
      <c r="C98" s="28">
        <v>1000</v>
      </c>
      <c r="D98" s="25" t="s">
        <v>193</v>
      </c>
      <c r="E98" s="23"/>
    </row>
    <row r="99" spans="1:8" x14ac:dyDescent="0.25">
      <c r="A99" s="24">
        <v>46239</v>
      </c>
      <c r="B99" s="23" t="s">
        <v>45</v>
      </c>
      <c r="C99" s="28">
        <v>2000</v>
      </c>
      <c r="D99" s="25" t="s">
        <v>193</v>
      </c>
      <c r="E99" s="23"/>
    </row>
    <row r="100" spans="1:8" x14ac:dyDescent="0.25">
      <c r="A100" s="24">
        <v>46239</v>
      </c>
      <c r="B100" s="23" t="s">
        <v>55</v>
      </c>
      <c r="C100" s="28">
        <v>5000</v>
      </c>
      <c r="D100" s="25" t="s">
        <v>193</v>
      </c>
      <c r="E100" s="23"/>
    </row>
    <row r="101" spans="1:8" x14ac:dyDescent="0.25">
      <c r="A101" s="24">
        <v>46239</v>
      </c>
      <c r="B101" s="23" t="s">
        <v>89</v>
      </c>
      <c r="C101" s="28">
        <v>2100</v>
      </c>
      <c r="D101" s="25" t="s">
        <v>192</v>
      </c>
      <c r="E101" s="23"/>
    </row>
    <row r="102" spans="1:8" x14ac:dyDescent="0.25">
      <c r="A102" s="24">
        <v>46239</v>
      </c>
      <c r="B102" s="23" t="s">
        <v>217</v>
      </c>
      <c r="C102" s="28">
        <v>21000</v>
      </c>
      <c r="D102" s="25" t="s">
        <v>193</v>
      </c>
      <c r="E102" s="23"/>
    </row>
    <row r="103" spans="1:8" x14ac:dyDescent="0.25">
      <c r="A103" s="24">
        <v>46239</v>
      </c>
      <c r="B103" s="23" t="s">
        <v>153</v>
      </c>
      <c r="C103" s="28">
        <v>2000</v>
      </c>
      <c r="D103" s="25" t="s">
        <v>193</v>
      </c>
      <c r="E103" s="23"/>
      <c r="G103" s="35">
        <f>SUM(C96:C181)</f>
        <v>425700</v>
      </c>
    </row>
    <row r="104" spans="1:8" x14ac:dyDescent="0.25">
      <c r="A104" s="24">
        <v>46240</v>
      </c>
      <c r="B104" s="23" t="s">
        <v>65</v>
      </c>
      <c r="C104" s="28">
        <v>10000</v>
      </c>
      <c r="D104" s="25" t="s">
        <v>193</v>
      </c>
      <c r="E104" s="23"/>
    </row>
    <row r="105" spans="1:8" x14ac:dyDescent="0.25">
      <c r="A105" s="24">
        <v>46240</v>
      </c>
      <c r="B105" s="23" t="s">
        <v>58</v>
      </c>
      <c r="C105" s="28">
        <v>7000</v>
      </c>
      <c r="D105" s="25" t="s">
        <v>192</v>
      </c>
      <c r="E105" s="23"/>
    </row>
    <row r="106" spans="1:8" x14ac:dyDescent="0.25">
      <c r="A106" s="24">
        <v>46240</v>
      </c>
      <c r="B106" s="23" t="s">
        <v>66</v>
      </c>
      <c r="C106" s="28">
        <v>3000</v>
      </c>
      <c r="D106" s="25" t="s">
        <v>192</v>
      </c>
      <c r="E106" s="23"/>
    </row>
    <row r="107" spans="1:8" x14ac:dyDescent="0.25">
      <c r="A107" s="24">
        <v>46240</v>
      </c>
      <c r="B107" s="23" t="s">
        <v>218</v>
      </c>
      <c r="C107" s="28">
        <v>3000</v>
      </c>
      <c r="D107" s="25" t="s">
        <v>193</v>
      </c>
      <c r="E107" s="23"/>
      <c r="G107" s="35"/>
    </row>
    <row r="108" spans="1:8" x14ac:dyDescent="0.25">
      <c r="A108" s="24">
        <v>46240</v>
      </c>
      <c r="B108" s="23" t="s">
        <v>50</v>
      </c>
      <c r="C108" s="28">
        <v>2000</v>
      </c>
      <c r="D108" s="25" t="s">
        <v>193</v>
      </c>
      <c r="E108" s="23"/>
      <c r="G108" t="s">
        <v>237</v>
      </c>
    </row>
    <row r="109" spans="1:8" x14ac:dyDescent="0.25">
      <c r="A109" s="24">
        <v>46240</v>
      </c>
      <c r="B109" s="23" t="s">
        <v>184</v>
      </c>
      <c r="C109" s="28">
        <v>3500</v>
      </c>
      <c r="D109" s="25" t="s">
        <v>192</v>
      </c>
      <c r="E109" s="23"/>
      <c r="H109" s="35"/>
    </row>
    <row r="110" spans="1:8" x14ac:dyDescent="0.25">
      <c r="A110" s="24">
        <v>46240</v>
      </c>
      <c r="B110" s="23" t="s">
        <v>55</v>
      </c>
      <c r="C110" s="28">
        <v>2000</v>
      </c>
      <c r="D110" s="25" t="s">
        <v>192</v>
      </c>
      <c r="E110" s="23"/>
    </row>
    <row r="111" spans="1:8" x14ac:dyDescent="0.25">
      <c r="A111" s="24">
        <v>46241</v>
      </c>
      <c r="B111" s="23" t="s">
        <v>66</v>
      </c>
      <c r="C111" s="28">
        <v>2000</v>
      </c>
      <c r="D111" s="25" t="s">
        <v>193</v>
      </c>
      <c r="E111" s="23"/>
      <c r="G111" s="35"/>
    </row>
    <row r="112" spans="1:8" x14ac:dyDescent="0.25">
      <c r="A112" s="24">
        <v>46241</v>
      </c>
      <c r="B112" s="23" t="s">
        <v>58</v>
      </c>
      <c r="C112" s="28">
        <v>4000</v>
      </c>
      <c r="D112" s="25" t="s">
        <v>192</v>
      </c>
      <c r="E112" s="23"/>
    </row>
    <row r="113" spans="1:7" x14ac:dyDescent="0.25">
      <c r="A113" s="24">
        <v>46241</v>
      </c>
      <c r="B113" s="23" t="s">
        <v>89</v>
      </c>
      <c r="C113" s="28">
        <v>2100</v>
      </c>
      <c r="D113" s="25" t="s">
        <v>192</v>
      </c>
      <c r="E113" s="23"/>
    </row>
    <row r="114" spans="1:7" x14ac:dyDescent="0.25">
      <c r="A114" s="24">
        <v>46241</v>
      </c>
      <c r="B114" s="23" t="s">
        <v>64</v>
      </c>
      <c r="C114" s="28">
        <v>7000</v>
      </c>
      <c r="D114" s="25" t="s">
        <v>193</v>
      </c>
      <c r="E114" s="23"/>
      <c r="G114" s="35"/>
    </row>
    <row r="115" spans="1:7" x14ac:dyDescent="0.25">
      <c r="A115" s="24">
        <v>46241</v>
      </c>
      <c r="B115" s="23" t="s">
        <v>55</v>
      </c>
      <c r="C115" s="28">
        <v>2000</v>
      </c>
      <c r="D115" s="25" t="s">
        <v>193</v>
      </c>
      <c r="E115" s="23"/>
    </row>
    <row r="116" spans="1:7" x14ac:dyDescent="0.25">
      <c r="A116" s="24">
        <v>46241</v>
      </c>
      <c r="B116" s="23" t="s">
        <v>50</v>
      </c>
      <c r="C116" s="28">
        <v>1000</v>
      </c>
      <c r="D116" s="25" t="s">
        <v>193</v>
      </c>
      <c r="E116" s="23"/>
    </row>
    <row r="117" spans="1:7" x14ac:dyDescent="0.25">
      <c r="A117" s="24">
        <v>46241</v>
      </c>
      <c r="B117" s="23" t="s">
        <v>153</v>
      </c>
      <c r="C117" s="28">
        <v>1000</v>
      </c>
      <c r="D117" s="25" t="s">
        <v>193</v>
      </c>
      <c r="E117" s="23"/>
      <c r="G117" s="35"/>
    </row>
    <row r="118" spans="1:7" x14ac:dyDescent="0.25">
      <c r="A118" s="24">
        <v>46244</v>
      </c>
      <c r="B118" s="23" t="s">
        <v>90</v>
      </c>
      <c r="C118" s="28">
        <v>5000</v>
      </c>
      <c r="D118" s="25" t="s">
        <v>193</v>
      </c>
      <c r="E118" s="23"/>
    </row>
    <row r="119" spans="1:7" x14ac:dyDescent="0.25">
      <c r="A119" s="24">
        <v>46244</v>
      </c>
      <c r="B119" s="23" t="s">
        <v>117</v>
      </c>
      <c r="C119" s="28">
        <v>5000</v>
      </c>
      <c r="D119" s="25" t="s">
        <v>193</v>
      </c>
      <c r="E119" s="23"/>
    </row>
    <row r="120" spans="1:7" x14ac:dyDescent="0.25">
      <c r="A120" s="24">
        <v>46244</v>
      </c>
      <c r="B120" s="23" t="s">
        <v>55</v>
      </c>
      <c r="C120" s="28">
        <v>1000</v>
      </c>
      <c r="D120" s="25" t="s">
        <v>193</v>
      </c>
      <c r="E120" s="23"/>
    </row>
    <row r="121" spans="1:7" x14ac:dyDescent="0.25">
      <c r="A121" s="24">
        <v>46242</v>
      </c>
      <c r="B121" s="23" t="s">
        <v>66</v>
      </c>
      <c r="C121" s="28">
        <v>1000</v>
      </c>
      <c r="D121" s="25" t="s">
        <v>192</v>
      </c>
      <c r="E121" s="23"/>
    </row>
    <row r="122" spans="1:7" x14ac:dyDescent="0.25">
      <c r="A122" s="24">
        <v>46243</v>
      </c>
      <c r="B122" s="23" t="s">
        <v>52</v>
      </c>
      <c r="C122" s="28">
        <v>5000</v>
      </c>
      <c r="D122" s="25" t="s">
        <v>192</v>
      </c>
      <c r="E122" s="23"/>
    </row>
    <row r="123" spans="1:7" x14ac:dyDescent="0.25">
      <c r="A123" s="24">
        <v>46244</v>
      </c>
      <c r="B123" s="23" t="s">
        <v>189</v>
      </c>
      <c r="C123" s="28">
        <v>7000</v>
      </c>
      <c r="D123" s="25" t="s">
        <v>192</v>
      </c>
      <c r="E123" s="23"/>
    </row>
    <row r="124" spans="1:7" x14ac:dyDescent="0.25">
      <c r="A124" s="24">
        <v>46244</v>
      </c>
      <c r="B124" s="23" t="s">
        <v>221</v>
      </c>
      <c r="C124" s="28">
        <v>1000</v>
      </c>
      <c r="D124" s="25" t="s">
        <v>193</v>
      </c>
      <c r="E124" s="23"/>
    </row>
    <row r="125" spans="1:7" x14ac:dyDescent="0.25">
      <c r="A125" s="24">
        <v>46243</v>
      </c>
      <c r="B125" s="23" t="s">
        <v>66</v>
      </c>
      <c r="C125" s="28">
        <v>1000</v>
      </c>
      <c r="D125" s="25" t="s">
        <v>192</v>
      </c>
      <c r="E125" s="23"/>
    </row>
    <row r="126" spans="1:7" x14ac:dyDescent="0.25">
      <c r="A126" s="24">
        <v>46244</v>
      </c>
      <c r="B126" s="23" t="s">
        <v>48</v>
      </c>
      <c r="C126" s="28">
        <v>7000</v>
      </c>
      <c r="D126" s="25" t="s">
        <v>192</v>
      </c>
      <c r="E126" s="23"/>
    </row>
    <row r="127" spans="1:7" x14ac:dyDescent="0.25">
      <c r="A127" s="24">
        <v>46244</v>
      </c>
      <c r="B127" s="23" t="s">
        <v>66</v>
      </c>
      <c r="C127" s="28">
        <v>2000</v>
      </c>
      <c r="D127" s="25" t="s">
        <v>226</v>
      </c>
      <c r="E127" s="23"/>
    </row>
    <row r="128" spans="1:7" x14ac:dyDescent="0.25">
      <c r="A128" s="24">
        <v>46245</v>
      </c>
      <c r="B128" s="23" t="s">
        <v>55</v>
      </c>
      <c r="C128" s="28">
        <v>1000</v>
      </c>
      <c r="D128" s="25" t="s">
        <v>193</v>
      </c>
      <c r="E128" s="23"/>
    </row>
    <row r="129" spans="1:5" x14ac:dyDescent="0.25">
      <c r="A129" s="24">
        <v>46246</v>
      </c>
      <c r="B129" s="23" t="s">
        <v>62</v>
      </c>
      <c r="C129" s="28">
        <v>700</v>
      </c>
      <c r="D129" s="25" t="s">
        <v>193</v>
      </c>
      <c r="E129" s="23"/>
    </row>
    <row r="130" spans="1:5" x14ac:dyDescent="0.25">
      <c r="A130" s="24">
        <v>46246</v>
      </c>
      <c r="B130" s="23" t="s">
        <v>36</v>
      </c>
      <c r="C130" s="28">
        <v>4900</v>
      </c>
      <c r="D130" s="25" t="s">
        <v>193</v>
      </c>
      <c r="E130" s="23"/>
    </row>
    <row r="131" spans="1:5" x14ac:dyDescent="0.25">
      <c r="A131" s="24">
        <v>46246</v>
      </c>
      <c r="B131" s="23" t="s">
        <v>221</v>
      </c>
      <c r="C131" s="28">
        <v>1000</v>
      </c>
      <c r="D131" s="25" t="s">
        <v>192</v>
      </c>
      <c r="E131" s="23"/>
    </row>
    <row r="132" spans="1:5" x14ac:dyDescent="0.25">
      <c r="A132" s="24">
        <v>46246</v>
      </c>
      <c r="B132" s="23" t="s">
        <v>66</v>
      </c>
      <c r="C132" s="28">
        <v>2000</v>
      </c>
      <c r="D132" s="25" t="s">
        <v>192</v>
      </c>
      <c r="E132" s="23"/>
    </row>
    <row r="133" spans="1:5" x14ac:dyDescent="0.25">
      <c r="A133" s="24">
        <v>46246</v>
      </c>
      <c r="B133" s="23" t="s">
        <v>58</v>
      </c>
      <c r="C133" s="28">
        <v>5200</v>
      </c>
      <c r="D133" s="25" t="s">
        <v>192</v>
      </c>
      <c r="E133" s="23"/>
    </row>
    <row r="134" spans="1:5" x14ac:dyDescent="0.25">
      <c r="A134" s="24">
        <v>46245</v>
      </c>
      <c r="B134" s="23" t="s">
        <v>200</v>
      </c>
      <c r="C134" s="28">
        <v>12000</v>
      </c>
      <c r="D134" s="25" t="s">
        <v>226</v>
      </c>
      <c r="E134" s="23"/>
    </row>
    <row r="135" spans="1:5" x14ac:dyDescent="0.25">
      <c r="A135" s="24">
        <v>46247</v>
      </c>
      <c r="B135" s="23" t="s">
        <v>65</v>
      </c>
      <c r="C135" s="28">
        <v>2500</v>
      </c>
      <c r="D135" s="25" t="s">
        <v>193</v>
      </c>
      <c r="E135" s="23"/>
    </row>
    <row r="136" spans="1:5" x14ac:dyDescent="0.25">
      <c r="A136" s="24">
        <v>46247</v>
      </c>
      <c r="B136" s="23" t="s">
        <v>228</v>
      </c>
      <c r="C136" s="28">
        <v>10000</v>
      </c>
      <c r="D136" s="25" t="s">
        <v>193</v>
      </c>
      <c r="E136" s="23"/>
    </row>
    <row r="137" spans="1:5" x14ac:dyDescent="0.25">
      <c r="A137" s="24">
        <v>46247</v>
      </c>
      <c r="B137" s="23" t="s">
        <v>55</v>
      </c>
      <c r="C137" s="28">
        <v>1000</v>
      </c>
      <c r="D137" s="25" t="s">
        <v>193</v>
      </c>
      <c r="E137" s="23"/>
    </row>
    <row r="138" spans="1:5" x14ac:dyDescent="0.25">
      <c r="A138" s="24">
        <v>46247</v>
      </c>
      <c r="B138" s="23" t="s">
        <v>87</v>
      </c>
      <c r="C138" s="28">
        <v>8000</v>
      </c>
      <c r="D138" s="25" t="s">
        <v>192</v>
      </c>
      <c r="E138" s="23"/>
    </row>
    <row r="139" spans="1:5" x14ac:dyDescent="0.25">
      <c r="A139" s="24">
        <v>46247</v>
      </c>
      <c r="B139" s="23" t="s">
        <v>45</v>
      </c>
      <c r="C139" s="28">
        <v>3000</v>
      </c>
      <c r="D139" s="25" t="s">
        <v>193</v>
      </c>
      <c r="E139" s="23"/>
    </row>
    <row r="140" spans="1:5" x14ac:dyDescent="0.25">
      <c r="A140" s="24">
        <v>46247</v>
      </c>
      <c r="B140" s="23" t="s">
        <v>50</v>
      </c>
      <c r="C140" s="28">
        <v>2000</v>
      </c>
      <c r="D140" s="25" t="s">
        <v>193</v>
      </c>
      <c r="E140" s="23"/>
    </row>
    <row r="141" spans="1:5" x14ac:dyDescent="0.25">
      <c r="A141" s="24">
        <v>46247</v>
      </c>
      <c r="B141" s="23" t="s">
        <v>153</v>
      </c>
      <c r="C141" s="28">
        <v>1000</v>
      </c>
      <c r="D141" s="25" t="s">
        <v>193</v>
      </c>
      <c r="E141" s="23"/>
    </row>
    <row r="142" spans="1:5" x14ac:dyDescent="0.25">
      <c r="A142" s="24">
        <v>46247</v>
      </c>
      <c r="B142" s="23" t="s">
        <v>218</v>
      </c>
      <c r="C142" s="28">
        <v>1000</v>
      </c>
      <c r="D142" s="25" t="s">
        <v>193</v>
      </c>
      <c r="E142" s="23"/>
    </row>
    <row r="143" spans="1:5" x14ac:dyDescent="0.25">
      <c r="A143" s="24">
        <v>46247</v>
      </c>
      <c r="B143" s="23" t="s">
        <v>89</v>
      </c>
      <c r="C143" s="28">
        <v>700</v>
      </c>
      <c r="D143" s="25" t="s">
        <v>193</v>
      </c>
      <c r="E143" s="23"/>
    </row>
    <row r="144" spans="1:5" x14ac:dyDescent="0.25">
      <c r="A144" s="24">
        <v>46248</v>
      </c>
      <c r="B144" s="23" t="s">
        <v>66</v>
      </c>
      <c r="C144" s="28">
        <v>3000</v>
      </c>
      <c r="D144" s="25" t="s">
        <v>192</v>
      </c>
      <c r="E144" s="23"/>
    </row>
    <row r="145" spans="1:5" x14ac:dyDescent="0.25">
      <c r="A145" s="24">
        <v>46248</v>
      </c>
      <c r="B145" s="23" t="s">
        <v>50</v>
      </c>
      <c r="C145" s="28">
        <v>2000</v>
      </c>
      <c r="D145" s="25" t="s">
        <v>193</v>
      </c>
      <c r="E145" s="23"/>
    </row>
    <row r="146" spans="1:5" x14ac:dyDescent="0.25">
      <c r="A146" s="24">
        <v>46248</v>
      </c>
      <c r="B146" s="23" t="s">
        <v>216</v>
      </c>
      <c r="C146" s="28">
        <v>5000</v>
      </c>
      <c r="D146" s="25" t="s">
        <v>193</v>
      </c>
      <c r="E146" s="23"/>
    </row>
    <row r="147" spans="1:5" x14ac:dyDescent="0.25">
      <c r="A147" s="24">
        <v>46248</v>
      </c>
      <c r="B147" s="23" t="s">
        <v>55</v>
      </c>
      <c r="C147" s="28">
        <v>3000</v>
      </c>
      <c r="D147" s="25" t="s">
        <v>193</v>
      </c>
      <c r="E147" s="23"/>
    </row>
    <row r="148" spans="1:5" x14ac:dyDescent="0.25">
      <c r="A148" s="24">
        <v>46248</v>
      </c>
      <c r="B148" s="23" t="s">
        <v>64</v>
      </c>
      <c r="C148" s="28">
        <v>3500</v>
      </c>
      <c r="D148" s="25" t="s">
        <v>193</v>
      </c>
      <c r="E148" s="23"/>
    </row>
    <row r="149" spans="1:5" x14ac:dyDescent="0.25">
      <c r="A149" s="24">
        <v>46248</v>
      </c>
      <c r="B149" s="23" t="s">
        <v>63</v>
      </c>
      <c r="C149" s="28">
        <v>5000</v>
      </c>
      <c r="D149" s="25" t="s">
        <v>193</v>
      </c>
      <c r="E149" s="23"/>
    </row>
    <row r="150" spans="1:5" x14ac:dyDescent="0.25">
      <c r="A150" s="24">
        <v>46248</v>
      </c>
      <c r="B150" s="23" t="s">
        <v>60</v>
      </c>
      <c r="C150" s="28">
        <v>21000</v>
      </c>
      <c r="D150" s="25" t="s">
        <v>193</v>
      </c>
      <c r="E150" s="23"/>
    </row>
    <row r="151" spans="1:5" x14ac:dyDescent="0.25">
      <c r="A151" s="24">
        <v>46248</v>
      </c>
      <c r="B151" s="23" t="s">
        <v>61</v>
      </c>
      <c r="C151" s="28">
        <v>21000</v>
      </c>
      <c r="D151" s="25" t="s">
        <v>193</v>
      </c>
      <c r="E151" s="23"/>
    </row>
    <row r="152" spans="1:5" x14ac:dyDescent="0.25">
      <c r="A152" s="24">
        <v>46248</v>
      </c>
      <c r="B152" s="23" t="s">
        <v>42</v>
      </c>
      <c r="C152" s="28">
        <v>2000</v>
      </c>
      <c r="D152" s="25" t="s">
        <v>193</v>
      </c>
      <c r="E152" s="23"/>
    </row>
    <row r="153" spans="1:5" x14ac:dyDescent="0.25">
      <c r="A153" s="24">
        <v>46248</v>
      </c>
      <c r="B153" s="23" t="s">
        <v>229</v>
      </c>
      <c r="C153" s="28">
        <v>1000</v>
      </c>
      <c r="D153" s="25" t="s">
        <v>193</v>
      </c>
      <c r="E153" s="23"/>
    </row>
    <row r="154" spans="1:5" x14ac:dyDescent="0.25">
      <c r="A154" s="24">
        <v>46251</v>
      </c>
      <c r="B154" s="23" t="s">
        <v>45</v>
      </c>
      <c r="C154" s="28">
        <v>5000</v>
      </c>
      <c r="D154" s="25" t="s">
        <v>193</v>
      </c>
      <c r="E154" s="23"/>
    </row>
    <row r="155" spans="1:5" x14ac:dyDescent="0.25">
      <c r="A155" s="24">
        <v>46251</v>
      </c>
      <c r="B155" s="23" t="s">
        <v>218</v>
      </c>
      <c r="C155" s="28">
        <v>5000</v>
      </c>
      <c r="D155" s="25" t="s">
        <v>193</v>
      </c>
      <c r="E155" s="23"/>
    </row>
    <row r="156" spans="1:5" x14ac:dyDescent="0.25">
      <c r="A156" s="24">
        <v>46251</v>
      </c>
      <c r="B156" s="23" t="s">
        <v>50</v>
      </c>
      <c r="C156" s="28">
        <v>1000</v>
      </c>
      <c r="D156" s="25" t="s">
        <v>193</v>
      </c>
      <c r="E156" s="23"/>
    </row>
    <row r="157" spans="1:5" x14ac:dyDescent="0.25">
      <c r="A157" s="24">
        <v>46251</v>
      </c>
      <c r="B157" s="23" t="s">
        <v>153</v>
      </c>
      <c r="C157" s="28">
        <v>1000</v>
      </c>
      <c r="D157" s="25" t="s">
        <v>193</v>
      </c>
      <c r="E157" s="23"/>
    </row>
    <row r="158" spans="1:5" x14ac:dyDescent="0.25">
      <c r="A158" s="24">
        <v>46248</v>
      </c>
      <c r="B158" s="23" t="s">
        <v>58</v>
      </c>
      <c r="C158" s="28">
        <v>7000</v>
      </c>
      <c r="D158" s="25" t="s">
        <v>192</v>
      </c>
      <c r="E158" s="23"/>
    </row>
    <row r="159" spans="1:5" x14ac:dyDescent="0.25">
      <c r="A159" s="24">
        <v>46251</v>
      </c>
      <c r="B159" s="23" t="s">
        <v>48</v>
      </c>
      <c r="C159" s="28">
        <v>6000</v>
      </c>
      <c r="D159" s="25" t="s">
        <v>192</v>
      </c>
      <c r="E159" s="23"/>
    </row>
    <row r="160" spans="1:5" x14ac:dyDescent="0.25">
      <c r="A160" s="24">
        <v>46252</v>
      </c>
      <c r="B160" s="23" t="s">
        <v>52</v>
      </c>
      <c r="C160" s="28">
        <v>8000</v>
      </c>
      <c r="D160" s="25" t="s">
        <v>192</v>
      </c>
      <c r="E160" s="23"/>
    </row>
    <row r="161" spans="1:5" x14ac:dyDescent="0.25">
      <c r="A161" s="24">
        <v>46250</v>
      </c>
      <c r="B161" s="23" t="s">
        <v>55</v>
      </c>
      <c r="C161" s="28">
        <v>2000</v>
      </c>
      <c r="D161" s="25" t="s">
        <v>193</v>
      </c>
      <c r="E161" s="23"/>
    </row>
    <row r="162" spans="1:5" x14ac:dyDescent="0.25">
      <c r="A162" s="24">
        <v>46253</v>
      </c>
      <c r="B162" s="23" t="s">
        <v>66</v>
      </c>
      <c r="C162" s="28">
        <v>3000</v>
      </c>
      <c r="D162" s="25" t="s">
        <v>192</v>
      </c>
      <c r="E162" s="23"/>
    </row>
    <row r="163" spans="1:5" x14ac:dyDescent="0.25">
      <c r="A163" s="24">
        <v>46254</v>
      </c>
      <c r="B163" s="23" t="s">
        <v>58</v>
      </c>
      <c r="C163" s="28">
        <v>8100</v>
      </c>
      <c r="D163" s="25" t="s">
        <v>192</v>
      </c>
      <c r="E163" s="23"/>
    </row>
    <row r="164" spans="1:5" x14ac:dyDescent="0.25">
      <c r="A164" s="24">
        <v>46254</v>
      </c>
      <c r="B164" s="23" t="s">
        <v>89</v>
      </c>
      <c r="C164" s="28">
        <v>2100</v>
      </c>
      <c r="D164" s="25" t="s">
        <v>192</v>
      </c>
      <c r="E164" s="23"/>
    </row>
    <row r="165" spans="1:5" x14ac:dyDescent="0.25">
      <c r="A165" s="24">
        <v>46255</v>
      </c>
      <c r="B165" s="23" t="s">
        <v>200</v>
      </c>
      <c r="C165" s="28">
        <v>5000</v>
      </c>
      <c r="D165" s="25" t="s">
        <v>192</v>
      </c>
      <c r="E165" s="23"/>
    </row>
    <row r="166" spans="1:5" x14ac:dyDescent="0.25">
      <c r="A166" s="24">
        <v>46255</v>
      </c>
      <c r="B166" s="23" t="s">
        <v>57</v>
      </c>
      <c r="C166" s="28">
        <v>500</v>
      </c>
      <c r="D166" s="25" t="s">
        <v>193</v>
      </c>
      <c r="E166" s="23"/>
    </row>
    <row r="167" spans="1:5" x14ac:dyDescent="0.25">
      <c r="A167" s="24">
        <v>46255</v>
      </c>
      <c r="B167" s="23" t="s">
        <v>184</v>
      </c>
      <c r="C167" s="28">
        <v>3500</v>
      </c>
      <c r="D167" s="25" t="s">
        <v>192</v>
      </c>
      <c r="E167" s="23"/>
    </row>
    <row r="168" spans="1:5" x14ac:dyDescent="0.25">
      <c r="A168" s="24">
        <v>46258</v>
      </c>
      <c r="B168" s="23" t="s">
        <v>235</v>
      </c>
      <c r="C168" s="28">
        <v>10000</v>
      </c>
      <c r="D168" s="25" t="s">
        <v>193</v>
      </c>
      <c r="E168" s="23"/>
    </row>
    <row r="169" spans="1:5" x14ac:dyDescent="0.25">
      <c r="A169" s="24">
        <v>46258</v>
      </c>
      <c r="B169" s="23" t="s">
        <v>87</v>
      </c>
      <c r="C169" s="28">
        <v>11000</v>
      </c>
      <c r="D169" s="25" t="s">
        <v>192</v>
      </c>
      <c r="E169" s="23"/>
    </row>
    <row r="170" spans="1:5" x14ac:dyDescent="0.25">
      <c r="A170" s="24">
        <v>46258</v>
      </c>
      <c r="B170" s="23" t="s">
        <v>45</v>
      </c>
      <c r="C170" s="28">
        <v>5000</v>
      </c>
      <c r="D170" s="25" t="s">
        <v>193</v>
      </c>
      <c r="E170" s="23"/>
    </row>
    <row r="171" spans="1:5" x14ac:dyDescent="0.25">
      <c r="A171" s="24">
        <v>46258</v>
      </c>
      <c r="B171" s="23" t="s">
        <v>39</v>
      </c>
      <c r="C171" s="28">
        <v>7000</v>
      </c>
      <c r="D171" s="25" t="s">
        <v>193</v>
      </c>
      <c r="E171" s="23"/>
    </row>
    <row r="172" spans="1:5" x14ac:dyDescent="0.25">
      <c r="A172" s="24">
        <v>46258</v>
      </c>
      <c r="B172" s="23" t="s">
        <v>63</v>
      </c>
      <c r="C172" s="28">
        <v>5000</v>
      </c>
      <c r="D172" s="25" t="s">
        <v>193</v>
      </c>
      <c r="E172" s="23"/>
    </row>
    <row r="173" spans="1:5" x14ac:dyDescent="0.25">
      <c r="A173" s="24">
        <v>46258</v>
      </c>
      <c r="B173" s="23" t="s">
        <v>42</v>
      </c>
      <c r="C173" s="28">
        <v>4000</v>
      </c>
      <c r="D173" s="25" t="s">
        <v>193</v>
      </c>
      <c r="E173" s="23"/>
    </row>
    <row r="174" spans="1:5" x14ac:dyDescent="0.25">
      <c r="A174" s="24">
        <v>46258</v>
      </c>
      <c r="B174" s="23" t="s">
        <v>36</v>
      </c>
      <c r="C174" s="28">
        <v>4900</v>
      </c>
      <c r="D174" s="25" t="s">
        <v>193</v>
      </c>
      <c r="E174" s="23"/>
    </row>
    <row r="175" spans="1:5" x14ac:dyDescent="0.25">
      <c r="A175" s="24">
        <v>46258</v>
      </c>
      <c r="B175" s="23" t="s">
        <v>89</v>
      </c>
      <c r="C175" s="28">
        <v>1400</v>
      </c>
      <c r="D175" s="25" t="s">
        <v>192</v>
      </c>
      <c r="E175" s="23"/>
    </row>
    <row r="176" spans="1:5" x14ac:dyDescent="0.25">
      <c r="A176" s="24">
        <v>46259</v>
      </c>
      <c r="B176" s="23" t="s">
        <v>33</v>
      </c>
      <c r="C176" s="28">
        <v>21000</v>
      </c>
      <c r="D176" s="25" t="s">
        <v>193</v>
      </c>
      <c r="E176" s="23"/>
    </row>
    <row r="177" spans="1:7" x14ac:dyDescent="0.25">
      <c r="A177" s="24">
        <v>46259</v>
      </c>
      <c r="B177" s="23" t="s">
        <v>55</v>
      </c>
      <c r="C177" s="28">
        <v>7500</v>
      </c>
      <c r="D177" s="25" t="s">
        <v>193</v>
      </c>
      <c r="E177" s="23"/>
    </row>
    <row r="178" spans="1:7" x14ac:dyDescent="0.25">
      <c r="A178" s="24">
        <v>46259</v>
      </c>
      <c r="B178" s="23" t="s">
        <v>169</v>
      </c>
      <c r="C178" s="28">
        <v>3000</v>
      </c>
      <c r="D178" s="25" t="s">
        <v>193</v>
      </c>
      <c r="E178" s="23"/>
    </row>
    <row r="179" spans="1:7" x14ac:dyDescent="0.25">
      <c r="A179" s="24">
        <v>46259</v>
      </c>
      <c r="B179" s="23" t="s">
        <v>64</v>
      </c>
      <c r="C179" s="28">
        <v>4500</v>
      </c>
      <c r="D179" s="25" t="s">
        <v>193</v>
      </c>
      <c r="E179" s="23"/>
    </row>
    <row r="180" spans="1:7" x14ac:dyDescent="0.25">
      <c r="A180" s="24">
        <v>46259</v>
      </c>
      <c r="B180" s="23" t="s">
        <v>52</v>
      </c>
      <c r="C180" s="28">
        <v>8000</v>
      </c>
      <c r="D180" s="25" t="s">
        <v>192</v>
      </c>
      <c r="E180" s="23"/>
    </row>
    <row r="181" spans="1:7" x14ac:dyDescent="0.25">
      <c r="A181" s="24">
        <v>46260</v>
      </c>
      <c r="B181" s="23" t="s">
        <v>213</v>
      </c>
      <c r="C181" s="28">
        <v>30000</v>
      </c>
      <c r="D181" s="25" t="s">
        <v>238</v>
      </c>
      <c r="E181" s="23"/>
    </row>
    <row r="182" spans="1:7" x14ac:dyDescent="0.25">
      <c r="A182" s="24">
        <v>46260</v>
      </c>
      <c r="B182" s="23" t="s">
        <v>50</v>
      </c>
      <c r="C182" s="28">
        <v>3000</v>
      </c>
      <c r="D182" s="25" t="s">
        <v>238</v>
      </c>
      <c r="E182" s="23"/>
    </row>
    <row r="183" spans="1:7" x14ac:dyDescent="0.25">
      <c r="A183" s="24">
        <v>46260</v>
      </c>
      <c r="B183" s="23" t="s">
        <v>45</v>
      </c>
      <c r="C183" s="28">
        <v>2000</v>
      </c>
      <c r="D183" s="25" t="s">
        <v>238</v>
      </c>
      <c r="E183" s="23"/>
    </row>
    <row r="184" spans="1:7" x14ac:dyDescent="0.25">
      <c r="A184" s="24">
        <v>46260</v>
      </c>
      <c r="B184" s="24" t="s">
        <v>218</v>
      </c>
      <c r="C184" s="28">
        <v>1000</v>
      </c>
      <c r="D184" s="25" t="s">
        <v>238</v>
      </c>
      <c r="E184" s="23"/>
    </row>
    <row r="185" spans="1:7" x14ac:dyDescent="0.25">
      <c r="A185" s="24">
        <v>46261</v>
      </c>
      <c r="B185" s="23" t="s">
        <v>65</v>
      </c>
      <c r="C185" s="28">
        <v>10000</v>
      </c>
      <c r="D185" s="25" t="s">
        <v>238</v>
      </c>
      <c r="E185" s="23"/>
    </row>
    <row r="186" spans="1:7" x14ac:dyDescent="0.25">
      <c r="A186" s="24">
        <v>46261</v>
      </c>
      <c r="B186" s="23" t="s">
        <v>189</v>
      </c>
      <c r="C186" s="28">
        <v>5000</v>
      </c>
      <c r="D186" s="25" t="s">
        <v>192</v>
      </c>
      <c r="E186" s="23"/>
      <c r="G186" s="35">
        <f>SUM(C3:C200)</f>
        <v>1171900</v>
      </c>
    </row>
    <row r="187" spans="1:7" x14ac:dyDescent="0.25">
      <c r="A187" s="24">
        <v>46261</v>
      </c>
      <c r="B187" s="23" t="s">
        <v>41</v>
      </c>
      <c r="C187" s="28">
        <v>5000</v>
      </c>
      <c r="D187" s="25" t="s">
        <v>238</v>
      </c>
      <c r="E187" s="23"/>
    </row>
    <row r="188" spans="1:7" x14ac:dyDescent="0.25">
      <c r="A188" s="24">
        <v>46263</v>
      </c>
      <c r="B188" s="23" t="s">
        <v>58</v>
      </c>
      <c r="C188" s="28">
        <v>10000</v>
      </c>
      <c r="D188" s="25" t="s">
        <v>192</v>
      </c>
      <c r="E188" s="23"/>
    </row>
    <row r="189" spans="1:7" x14ac:dyDescent="0.25">
      <c r="A189" s="24">
        <v>46264</v>
      </c>
      <c r="B189" s="23" t="s">
        <v>66</v>
      </c>
      <c r="C189" s="28">
        <v>3000</v>
      </c>
      <c r="D189" s="25" t="s">
        <v>192</v>
      </c>
      <c r="E189" s="23"/>
    </row>
    <row r="190" spans="1:7" x14ac:dyDescent="0.25">
      <c r="A190" s="24">
        <v>46264</v>
      </c>
      <c r="B190" s="23" t="s">
        <v>90</v>
      </c>
      <c r="C190" s="28">
        <v>10000</v>
      </c>
      <c r="D190" s="25" t="s">
        <v>238</v>
      </c>
      <c r="E190" s="23"/>
    </row>
    <row r="191" spans="1:7" x14ac:dyDescent="0.25">
      <c r="A191" s="24">
        <v>46264</v>
      </c>
      <c r="B191" s="23" t="s">
        <v>239</v>
      </c>
      <c r="C191" s="28">
        <v>0</v>
      </c>
      <c r="D191" s="25" t="s">
        <v>238</v>
      </c>
      <c r="E191" s="23" t="s">
        <v>240</v>
      </c>
    </row>
    <row r="192" spans="1:7" x14ac:dyDescent="0.25">
      <c r="A192" s="24">
        <v>46264</v>
      </c>
      <c r="B192" s="23" t="s">
        <v>45</v>
      </c>
      <c r="C192" s="28">
        <v>2000</v>
      </c>
      <c r="D192" s="25" t="s">
        <v>238</v>
      </c>
      <c r="E192" s="23"/>
    </row>
    <row r="193" spans="1:5" x14ac:dyDescent="0.25">
      <c r="A193" s="24">
        <v>46264</v>
      </c>
      <c r="B193" s="23" t="s">
        <v>218</v>
      </c>
      <c r="C193" s="28">
        <v>2000</v>
      </c>
      <c r="D193" s="25" t="s">
        <v>238</v>
      </c>
      <c r="E193" s="23"/>
    </row>
    <row r="194" spans="1:5" x14ac:dyDescent="0.25">
      <c r="A194" s="24">
        <v>46264</v>
      </c>
      <c r="B194" s="23" t="s">
        <v>50</v>
      </c>
      <c r="C194" s="28">
        <v>1000</v>
      </c>
      <c r="D194" s="25" t="s">
        <v>238</v>
      </c>
      <c r="E194" s="23"/>
    </row>
    <row r="195" spans="1:5" x14ac:dyDescent="0.25">
      <c r="A195" s="24">
        <v>46264</v>
      </c>
      <c r="B195" s="23" t="s">
        <v>90</v>
      </c>
      <c r="C195" s="28">
        <v>10000</v>
      </c>
      <c r="D195" s="25" t="s">
        <v>238</v>
      </c>
      <c r="E195" s="23"/>
    </row>
    <row r="196" spans="1:5" x14ac:dyDescent="0.25">
      <c r="A196" s="24">
        <v>46266</v>
      </c>
      <c r="B196" s="23" t="s">
        <v>89</v>
      </c>
      <c r="C196" s="28">
        <v>2000</v>
      </c>
      <c r="D196" s="25" t="s">
        <v>192</v>
      </c>
      <c r="E196" s="23"/>
    </row>
    <row r="197" spans="1:5" x14ac:dyDescent="0.25">
      <c r="A197" s="24">
        <v>46266</v>
      </c>
      <c r="B197" s="23" t="s">
        <v>52</v>
      </c>
      <c r="C197" s="28">
        <v>7000</v>
      </c>
      <c r="D197" s="25" t="s">
        <v>192</v>
      </c>
      <c r="E197" s="23"/>
    </row>
    <row r="198" spans="1:5" x14ac:dyDescent="0.25">
      <c r="A198" s="24">
        <v>46266</v>
      </c>
      <c r="B198" s="23" t="s">
        <v>215</v>
      </c>
      <c r="C198" s="28">
        <v>3000</v>
      </c>
      <c r="D198" s="25" t="s">
        <v>238</v>
      </c>
      <c r="E198" s="23"/>
    </row>
    <row r="199" spans="1:5" x14ac:dyDescent="0.25">
      <c r="A199" s="24">
        <v>46266</v>
      </c>
      <c r="B199" s="23" t="s">
        <v>87</v>
      </c>
      <c r="C199" s="28">
        <v>11000</v>
      </c>
      <c r="D199" s="25" t="s">
        <v>192</v>
      </c>
      <c r="E199" s="23"/>
    </row>
    <row r="200" spans="1:5" x14ac:dyDescent="0.25">
      <c r="A200" s="24">
        <v>46266</v>
      </c>
      <c r="B200" s="23" t="s">
        <v>42</v>
      </c>
      <c r="C200" s="28">
        <v>5000</v>
      </c>
      <c r="D200" s="25" t="s">
        <v>238</v>
      </c>
      <c r="E200" s="23"/>
    </row>
    <row r="201" spans="1:5" x14ac:dyDescent="0.25">
      <c r="A201" s="24">
        <v>46268</v>
      </c>
      <c r="B201" s="23" t="s">
        <v>57</v>
      </c>
      <c r="C201" s="28">
        <v>1000</v>
      </c>
      <c r="D201" s="25" t="s">
        <v>193</v>
      </c>
      <c r="E201" s="23"/>
    </row>
    <row r="202" spans="1:5" x14ac:dyDescent="0.25">
      <c r="A202" s="24">
        <v>46268</v>
      </c>
      <c r="B202" s="23" t="s">
        <v>45</v>
      </c>
      <c r="C202" s="28">
        <v>5000</v>
      </c>
      <c r="D202" s="25" t="s">
        <v>193</v>
      </c>
      <c r="E202" s="23" t="s">
        <v>241</v>
      </c>
    </row>
    <row r="203" spans="1:5" x14ac:dyDescent="0.25">
      <c r="A203" s="24">
        <v>46268</v>
      </c>
      <c r="B203" s="23" t="s">
        <v>50</v>
      </c>
      <c r="C203" s="28">
        <v>2000</v>
      </c>
      <c r="D203" s="25" t="s">
        <v>193</v>
      </c>
      <c r="E203" s="23" t="s">
        <v>241</v>
      </c>
    </row>
    <row r="204" spans="1:5" x14ac:dyDescent="0.25">
      <c r="A204" s="24">
        <v>46268</v>
      </c>
      <c r="B204" s="23" t="s">
        <v>218</v>
      </c>
      <c r="C204" s="28">
        <v>1000</v>
      </c>
      <c r="D204" s="25" t="s">
        <v>193</v>
      </c>
      <c r="E204" s="23" t="s">
        <v>241</v>
      </c>
    </row>
    <row r="205" spans="1:5" x14ac:dyDescent="0.25">
      <c r="A205" s="24">
        <v>46268</v>
      </c>
      <c r="B205" s="23" t="s">
        <v>47</v>
      </c>
      <c r="C205" s="28">
        <v>2100</v>
      </c>
      <c r="D205" s="25" t="s">
        <v>193</v>
      </c>
      <c r="E205" s="23" t="s">
        <v>241</v>
      </c>
    </row>
    <row r="206" spans="1:5" x14ac:dyDescent="0.25">
      <c r="A206" s="24">
        <v>46268</v>
      </c>
      <c r="B206" s="23" t="s">
        <v>36</v>
      </c>
      <c r="C206" s="28">
        <v>4900</v>
      </c>
      <c r="D206" s="25" t="s">
        <v>193</v>
      </c>
      <c r="E206" s="23"/>
    </row>
    <row r="207" spans="1:5" x14ac:dyDescent="0.25">
      <c r="A207" s="24">
        <v>46269</v>
      </c>
      <c r="B207" s="23" t="s">
        <v>184</v>
      </c>
      <c r="C207" s="28">
        <v>3500</v>
      </c>
      <c r="D207" s="25" t="s">
        <v>193</v>
      </c>
      <c r="E207" s="23"/>
    </row>
    <row r="208" spans="1:5" x14ac:dyDescent="0.25">
      <c r="A208" s="24">
        <v>46269</v>
      </c>
      <c r="B208" s="23" t="s">
        <v>149</v>
      </c>
      <c r="C208" s="28">
        <v>2000</v>
      </c>
      <c r="D208" s="25" t="s">
        <v>193</v>
      </c>
      <c r="E208" s="23"/>
    </row>
    <row r="209" spans="1:5" x14ac:dyDescent="0.25">
      <c r="A209" s="24">
        <v>46269</v>
      </c>
      <c r="B209" s="23" t="s">
        <v>50</v>
      </c>
      <c r="C209" s="28">
        <v>1000</v>
      </c>
      <c r="D209" s="25" t="s">
        <v>193</v>
      </c>
      <c r="E209" s="23"/>
    </row>
    <row r="210" spans="1:5" x14ac:dyDescent="0.25">
      <c r="A210" s="24">
        <v>46269</v>
      </c>
      <c r="B210" s="23" t="s">
        <v>218</v>
      </c>
      <c r="C210" s="28">
        <v>2000</v>
      </c>
      <c r="D210" s="25" t="s">
        <v>193</v>
      </c>
      <c r="E210" s="23"/>
    </row>
    <row r="211" spans="1:5" x14ac:dyDescent="0.25">
      <c r="A211" s="24">
        <v>46269</v>
      </c>
      <c r="B211" s="23" t="s">
        <v>66</v>
      </c>
      <c r="C211" s="28">
        <v>3000</v>
      </c>
      <c r="D211" s="25" t="s">
        <v>244</v>
      </c>
      <c r="E211" s="23"/>
    </row>
    <row r="212" spans="1:5" x14ac:dyDescent="0.25">
      <c r="A212" s="24">
        <v>46269</v>
      </c>
      <c r="B212" s="23" t="s">
        <v>45</v>
      </c>
      <c r="C212" s="28">
        <v>2000</v>
      </c>
      <c r="D212" s="25" t="s">
        <v>193</v>
      </c>
      <c r="E212" s="25" t="s">
        <v>193</v>
      </c>
    </row>
    <row r="213" spans="1:5" x14ac:dyDescent="0.25">
      <c r="A213" s="24">
        <v>46272</v>
      </c>
      <c r="B213" s="54" t="s">
        <v>90</v>
      </c>
      <c r="C213" s="28">
        <v>5000</v>
      </c>
      <c r="D213" s="25" t="s">
        <v>193</v>
      </c>
      <c r="E213" s="23"/>
    </row>
    <row r="214" spans="1:5" x14ac:dyDescent="0.25">
      <c r="A214" s="52">
        <v>46272</v>
      </c>
      <c r="B214" s="55" t="s">
        <v>50</v>
      </c>
      <c r="C214" s="53">
        <v>2000</v>
      </c>
      <c r="D214" s="50" t="s">
        <v>193</v>
      </c>
    </row>
    <row r="215" spans="1:5" x14ac:dyDescent="0.25">
      <c r="A215" s="24">
        <v>46272</v>
      </c>
      <c r="B215" t="s">
        <v>52</v>
      </c>
      <c r="C215" s="51">
        <v>7000</v>
      </c>
      <c r="D215" s="50" t="s">
        <v>192</v>
      </c>
    </row>
    <row r="216" spans="1:5" x14ac:dyDescent="0.25">
      <c r="A216" s="24">
        <v>46272</v>
      </c>
      <c r="B216" s="23" t="s">
        <v>45</v>
      </c>
      <c r="C216" s="28">
        <v>2000</v>
      </c>
      <c r="D216" s="25" t="s">
        <v>193</v>
      </c>
      <c r="E216" s="23"/>
    </row>
    <row r="217" spans="1:5" x14ac:dyDescent="0.25">
      <c r="A217" s="24">
        <v>46272</v>
      </c>
      <c r="B217" s="23" t="s">
        <v>48</v>
      </c>
      <c r="C217" s="28">
        <v>15000</v>
      </c>
      <c r="D217" s="25" t="s">
        <v>193</v>
      </c>
      <c r="E217" s="23"/>
    </row>
    <row r="218" spans="1:5" x14ac:dyDescent="0.25">
      <c r="A218" s="24">
        <v>46273</v>
      </c>
      <c r="B218" s="23" t="s">
        <v>200</v>
      </c>
      <c r="C218" s="28">
        <v>5000</v>
      </c>
      <c r="D218" s="25" t="s">
        <v>244</v>
      </c>
      <c r="E218" s="23"/>
    </row>
    <row r="219" spans="1:5" x14ac:dyDescent="0.25">
      <c r="A219" s="24">
        <v>46273</v>
      </c>
      <c r="B219" s="23" t="s">
        <v>66</v>
      </c>
      <c r="C219" s="28">
        <v>4000</v>
      </c>
      <c r="D219" s="25" t="s">
        <v>192</v>
      </c>
      <c r="E219" s="23"/>
    </row>
    <row r="220" spans="1:5" x14ac:dyDescent="0.25">
      <c r="A220" s="24">
        <v>46274</v>
      </c>
      <c r="B220" s="23" t="s">
        <v>218</v>
      </c>
      <c r="C220" s="28">
        <v>4000</v>
      </c>
      <c r="D220" s="25" t="s">
        <v>193</v>
      </c>
      <c r="E220" s="23"/>
    </row>
    <row r="221" spans="1:5" x14ac:dyDescent="0.25">
      <c r="A221" s="24">
        <v>46274</v>
      </c>
      <c r="B221" s="23" t="s">
        <v>215</v>
      </c>
      <c r="C221" s="28">
        <v>2000</v>
      </c>
      <c r="D221" s="25" t="s">
        <v>192</v>
      </c>
      <c r="E221" s="23"/>
    </row>
    <row r="222" spans="1:5" x14ac:dyDescent="0.25">
      <c r="A222" s="24">
        <v>46274</v>
      </c>
      <c r="B222" s="23" t="s">
        <v>87</v>
      </c>
      <c r="C222" s="28">
        <v>11000</v>
      </c>
      <c r="D222" s="25" t="s">
        <v>192</v>
      </c>
      <c r="E222" s="23"/>
    </row>
    <row r="223" spans="1:5" x14ac:dyDescent="0.25">
      <c r="A223" s="24">
        <v>46274</v>
      </c>
      <c r="B223" s="23" t="s">
        <v>66</v>
      </c>
      <c r="C223" s="28">
        <v>3000</v>
      </c>
      <c r="D223" s="25" t="s">
        <v>226</v>
      </c>
      <c r="E223" s="23"/>
    </row>
    <row r="224" spans="1:5" x14ac:dyDescent="0.25">
      <c r="A224" s="24">
        <v>46275</v>
      </c>
      <c r="B224" s="23" t="s">
        <v>58</v>
      </c>
      <c r="C224" s="28">
        <v>10000</v>
      </c>
      <c r="D224" s="25" t="s">
        <v>192</v>
      </c>
      <c r="E224" s="23"/>
    </row>
    <row r="225" spans="1:5" x14ac:dyDescent="0.25">
      <c r="A225" s="24">
        <v>46275</v>
      </c>
      <c r="B225" s="23" t="s">
        <v>55</v>
      </c>
      <c r="C225" s="28">
        <v>10500</v>
      </c>
      <c r="D225" s="25" t="s">
        <v>193</v>
      </c>
      <c r="E225" s="23"/>
    </row>
    <row r="226" spans="1:5" x14ac:dyDescent="0.25">
      <c r="A226" s="24">
        <v>46275</v>
      </c>
      <c r="B226" s="23" t="s">
        <v>65</v>
      </c>
      <c r="C226" s="28">
        <v>3000</v>
      </c>
      <c r="D226" s="25" t="s">
        <v>193</v>
      </c>
      <c r="E226" s="23"/>
    </row>
    <row r="227" spans="1:5" x14ac:dyDescent="0.25">
      <c r="A227" s="24">
        <v>46275</v>
      </c>
      <c r="B227" s="23" t="s">
        <v>189</v>
      </c>
      <c r="C227" s="28">
        <v>2000</v>
      </c>
      <c r="D227" s="25" t="s">
        <v>193</v>
      </c>
      <c r="E227" s="23"/>
    </row>
    <row r="228" spans="1:5" x14ac:dyDescent="0.25">
      <c r="A228" s="24">
        <v>46275</v>
      </c>
      <c r="B228" s="23" t="s">
        <v>39</v>
      </c>
      <c r="C228" s="28">
        <v>7000</v>
      </c>
      <c r="D228" s="25" t="s">
        <v>193</v>
      </c>
      <c r="E228" s="23"/>
    </row>
    <row r="229" spans="1:5" x14ac:dyDescent="0.25">
      <c r="A229" s="24">
        <v>46275</v>
      </c>
      <c r="B229" s="23" t="s">
        <v>63</v>
      </c>
      <c r="C229" s="28">
        <v>4900</v>
      </c>
      <c r="D229" s="25" t="s">
        <v>193</v>
      </c>
      <c r="E229" s="23"/>
    </row>
    <row r="230" spans="1:5" x14ac:dyDescent="0.25">
      <c r="A230" s="24">
        <v>46275</v>
      </c>
      <c r="B230" s="23" t="s">
        <v>36</v>
      </c>
      <c r="C230" s="28">
        <v>4900</v>
      </c>
      <c r="D230" s="25" t="s">
        <v>193</v>
      </c>
      <c r="E230" s="23"/>
    </row>
    <row r="231" spans="1:5" x14ac:dyDescent="0.25">
      <c r="A231" s="24">
        <v>46276</v>
      </c>
      <c r="B231" s="23" t="s">
        <v>50</v>
      </c>
      <c r="C231" s="28">
        <v>2000</v>
      </c>
      <c r="D231" s="25" t="s">
        <v>193</v>
      </c>
      <c r="E231" s="23"/>
    </row>
    <row r="232" spans="1:5" x14ac:dyDescent="0.25">
      <c r="A232" s="24"/>
      <c r="B232" s="23"/>
      <c r="C232" s="28"/>
      <c r="D232" s="25"/>
      <c r="E232" s="23"/>
    </row>
    <row r="233" spans="1:5" x14ac:dyDescent="0.25">
      <c r="A233" s="24"/>
      <c r="B233" s="23"/>
      <c r="C233" s="28"/>
      <c r="D233" s="25"/>
      <c r="E233" s="23"/>
    </row>
    <row r="234" spans="1:5" x14ac:dyDescent="0.25">
      <c r="A234" s="24"/>
      <c r="B234" s="23"/>
      <c r="C234" s="28"/>
      <c r="D234" s="25"/>
      <c r="E234" s="23"/>
    </row>
    <row r="235" spans="1:5" x14ac:dyDescent="0.25">
      <c r="A235" s="24"/>
      <c r="B235" s="23"/>
      <c r="C235" s="28"/>
      <c r="D235" s="25"/>
      <c r="E235" s="23"/>
    </row>
    <row r="236" spans="1:5" x14ac:dyDescent="0.25">
      <c r="A236" s="24"/>
      <c r="B236" s="23"/>
      <c r="C236" s="28"/>
      <c r="D236" s="25"/>
      <c r="E236" s="23"/>
    </row>
    <row r="237" spans="1:5" x14ac:dyDescent="0.25">
      <c r="A237" s="24"/>
      <c r="B237" s="23"/>
      <c r="C237" s="28"/>
      <c r="D237" s="25"/>
      <c r="E237" s="23"/>
    </row>
    <row r="238" spans="1:5" x14ac:dyDescent="0.25">
      <c r="A238" s="24"/>
      <c r="B238" s="23"/>
      <c r="C238" s="28"/>
      <c r="D238" s="25"/>
      <c r="E238" s="23"/>
    </row>
    <row r="239" spans="1:5" x14ac:dyDescent="0.25">
      <c r="A239" s="24"/>
      <c r="B239" s="23"/>
      <c r="C239" s="28"/>
      <c r="D239" s="25"/>
      <c r="E239" s="23"/>
    </row>
    <row r="240" spans="1:5" x14ac:dyDescent="0.25">
      <c r="A240" s="24"/>
      <c r="B240" s="23"/>
      <c r="C240" s="28"/>
      <c r="D240" s="25"/>
      <c r="E240" s="23"/>
    </row>
    <row r="241" spans="1:5" x14ac:dyDescent="0.25">
      <c r="A241" s="24"/>
      <c r="B241" s="23"/>
      <c r="C241" s="28"/>
      <c r="D241" s="25"/>
      <c r="E241" s="23"/>
    </row>
    <row r="242" spans="1:5" x14ac:dyDescent="0.25">
      <c r="A242" s="24"/>
      <c r="B242" s="23"/>
      <c r="C242" s="28"/>
      <c r="D242" s="25"/>
      <c r="E242" s="23"/>
    </row>
    <row r="243" spans="1:5" x14ac:dyDescent="0.25">
      <c r="A243" s="24"/>
      <c r="B243" s="23"/>
      <c r="C243" s="28"/>
      <c r="D243" s="25"/>
      <c r="E243" s="23"/>
    </row>
    <row r="244" spans="1:5" x14ac:dyDescent="0.25">
      <c r="A244" s="24"/>
      <c r="B244" s="23"/>
      <c r="C244" s="28"/>
      <c r="D244" s="25"/>
      <c r="E244" s="23"/>
    </row>
    <row r="245" spans="1:5" x14ac:dyDescent="0.25">
      <c r="A245" s="24"/>
      <c r="B245" s="23"/>
      <c r="C245" s="28"/>
      <c r="D245" s="25"/>
      <c r="E245" s="23"/>
    </row>
    <row r="246" spans="1:5" x14ac:dyDescent="0.25">
      <c r="A246" s="24"/>
      <c r="B246" s="23"/>
      <c r="C246" s="28"/>
      <c r="D246" s="25"/>
      <c r="E246" s="23"/>
    </row>
    <row r="247" spans="1:5" x14ac:dyDescent="0.25">
      <c r="A247" s="24"/>
      <c r="B247" s="23"/>
      <c r="C247" s="28"/>
      <c r="D247" s="25"/>
      <c r="E247" s="23"/>
    </row>
    <row r="248" spans="1:5" x14ac:dyDescent="0.25">
      <c r="A248" s="24"/>
      <c r="B248" s="23"/>
      <c r="C248" s="28"/>
      <c r="D248" s="25"/>
      <c r="E248" s="23"/>
    </row>
    <row r="249" spans="1:5" x14ac:dyDescent="0.25">
      <c r="A249" s="24"/>
      <c r="B249" s="23"/>
      <c r="C249" s="28"/>
      <c r="D249" s="25"/>
      <c r="E249" s="23"/>
    </row>
    <row r="250" spans="1:5" x14ac:dyDescent="0.25">
      <c r="A250" s="24"/>
      <c r="B250" s="23"/>
      <c r="C250" s="28"/>
      <c r="D250" s="25"/>
      <c r="E250" s="23"/>
    </row>
    <row r="251" spans="1:5" x14ac:dyDescent="0.25">
      <c r="A251" s="24"/>
      <c r="B251" s="23"/>
      <c r="C251" s="28"/>
      <c r="D251" s="25"/>
      <c r="E251" s="23"/>
    </row>
    <row r="252" spans="1:5" x14ac:dyDescent="0.25">
      <c r="A252" s="24"/>
      <c r="B252" s="23"/>
      <c r="C252" s="28"/>
      <c r="D252" s="25"/>
      <c r="E252" s="23"/>
    </row>
    <row r="253" spans="1:5" x14ac:dyDescent="0.25">
      <c r="A253" s="24"/>
      <c r="B253" s="23"/>
      <c r="C253" s="28"/>
      <c r="D253" s="25"/>
      <c r="E253" s="23"/>
    </row>
    <row r="254" spans="1:5" x14ac:dyDescent="0.25">
      <c r="A254" s="24"/>
      <c r="B254" s="23"/>
      <c r="C254" s="28"/>
      <c r="D254" s="25"/>
      <c r="E254" s="23"/>
    </row>
    <row r="255" spans="1:5" x14ac:dyDescent="0.25">
      <c r="A255" s="24"/>
      <c r="B255" s="23"/>
      <c r="C255" s="28"/>
      <c r="D255" s="25"/>
      <c r="E255" s="23"/>
    </row>
    <row r="256" spans="1:5" x14ac:dyDescent="0.25">
      <c r="A256" s="24"/>
      <c r="B256" s="23"/>
      <c r="C256" s="28"/>
      <c r="D256" s="25"/>
      <c r="E256" s="23"/>
    </row>
    <row r="257" spans="1:5" x14ac:dyDescent="0.25">
      <c r="A257" s="24"/>
      <c r="B257" s="23"/>
      <c r="C257" s="28"/>
      <c r="D257" s="25"/>
      <c r="E257" s="23"/>
    </row>
    <row r="258" spans="1:5" x14ac:dyDescent="0.25">
      <c r="A258" s="24"/>
      <c r="B258" s="23"/>
      <c r="C258" s="28"/>
      <c r="D258" s="25"/>
      <c r="E258" s="23"/>
    </row>
    <row r="259" spans="1:5" x14ac:dyDescent="0.25">
      <c r="A259" s="24"/>
      <c r="B259" s="23"/>
      <c r="C259" s="28"/>
      <c r="D259" s="25"/>
      <c r="E259" s="23"/>
    </row>
    <row r="260" spans="1:5" x14ac:dyDescent="0.25">
      <c r="A260" s="24"/>
      <c r="B260" s="23"/>
      <c r="C260" s="28"/>
      <c r="D260" s="25"/>
      <c r="E260" s="23"/>
    </row>
    <row r="261" spans="1:5" x14ac:dyDescent="0.25">
      <c r="A261" s="24"/>
      <c r="B261" s="23"/>
      <c r="C261" s="28"/>
      <c r="D261" s="25"/>
      <c r="E261" s="23"/>
    </row>
    <row r="262" spans="1:5" x14ac:dyDescent="0.25">
      <c r="A262" s="24"/>
      <c r="B262" s="23"/>
      <c r="C262" s="28"/>
      <c r="D262" s="25"/>
      <c r="E262" s="23"/>
    </row>
    <row r="263" spans="1:5" x14ac:dyDescent="0.25">
      <c r="A263" s="24"/>
      <c r="B263" s="23"/>
      <c r="C263" s="28"/>
      <c r="D263" s="25"/>
      <c r="E263" s="23"/>
    </row>
    <row r="264" spans="1:5" x14ac:dyDescent="0.25">
      <c r="A264" s="24"/>
      <c r="B264" s="23"/>
      <c r="C264" s="28"/>
      <c r="D264" s="25"/>
      <c r="E264" s="23"/>
    </row>
    <row r="265" spans="1:5" x14ac:dyDescent="0.25">
      <c r="A265" s="24"/>
      <c r="B265" s="23"/>
      <c r="C265" s="28"/>
      <c r="D265" s="25"/>
      <c r="E265" s="23"/>
    </row>
    <row r="266" spans="1:5" x14ac:dyDescent="0.25">
      <c r="A266" s="24"/>
      <c r="B266" s="23"/>
      <c r="C266" s="28"/>
      <c r="D266" s="25"/>
      <c r="E266" s="23"/>
    </row>
    <row r="267" spans="1:5" x14ac:dyDescent="0.25">
      <c r="A267" s="24"/>
      <c r="B267" s="23"/>
      <c r="C267" s="28"/>
      <c r="D267" s="25"/>
      <c r="E267" s="23"/>
    </row>
    <row r="268" spans="1:5" x14ac:dyDescent="0.25">
      <c r="A268" s="24"/>
      <c r="B268" s="23"/>
      <c r="C268" s="28"/>
      <c r="D268" s="25"/>
      <c r="E268" s="23"/>
    </row>
    <row r="269" spans="1:5" x14ac:dyDescent="0.25">
      <c r="A269" s="24"/>
      <c r="B269" s="23"/>
      <c r="C269" s="28"/>
      <c r="D269" s="25"/>
      <c r="E269" s="23"/>
    </row>
    <row r="270" spans="1:5" x14ac:dyDescent="0.25">
      <c r="A270" s="24"/>
      <c r="B270" s="23"/>
      <c r="C270" s="28"/>
      <c r="D270" s="25"/>
      <c r="E270" s="23"/>
    </row>
    <row r="271" spans="1:5" x14ac:dyDescent="0.25">
      <c r="A271" s="24"/>
      <c r="B271" s="23"/>
      <c r="C271" s="28"/>
      <c r="D271" s="25"/>
      <c r="E271" s="23"/>
    </row>
    <row r="272" spans="1:5" x14ac:dyDescent="0.25">
      <c r="A272" s="24"/>
      <c r="B272" s="23"/>
      <c r="C272" s="28"/>
      <c r="D272" s="25"/>
      <c r="E272" s="23"/>
    </row>
    <row r="273" spans="1:5" x14ac:dyDescent="0.25">
      <c r="A273" s="24"/>
      <c r="B273" s="23"/>
      <c r="C273" s="28"/>
      <c r="D273" s="25"/>
      <c r="E273" s="23"/>
    </row>
    <row r="274" spans="1:5" x14ac:dyDescent="0.25">
      <c r="A274" s="24"/>
      <c r="B274" s="23"/>
      <c r="C274" s="28"/>
      <c r="D274" s="25"/>
      <c r="E274" s="23"/>
    </row>
    <row r="275" spans="1:5" x14ac:dyDescent="0.25">
      <c r="A275" s="24"/>
      <c r="B275" s="23"/>
      <c r="C275" s="28"/>
      <c r="D275" s="25"/>
      <c r="E275" s="23"/>
    </row>
    <row r="276" spans="1:5" x14ac:dyDescent="0.25">
      <c r="A276" s="24"/>
      <c r="B276" s="23"/>
      <c r="C276" s="28"/>
      <c r="D276" s="25"/>
      <c r="E276" s="23"/>
    </row>
    <row r="277" spans="1:5" x14ac:dyDescent="0.25">
      <c r="A277" s="24"/>
      <c r="B277" s="23"/>
      <c r="C277" s="28"/>
      <c r="D277" s="25"/>
      <c r="E277" s="23"/>
    </row>
    <row r="278" spans="1:5" x14ac:dyDescent="0.25">
      <c r="A278" s="24"/>
      <c r="B278" s="23"/>
      <c r="C278" s="28"/>
      <c r="D278" s="25"/>
      <c r="E278" s="23"/>
    </row>
    <row r="279" spans="1:5" x14ac:dyDescent="0.25">
      <c r="A279" s="24"/>
      <c r="B279" s="23"/>
      <c r="C279" s="28"/>
      <c r="D279" s="25"/>
      <c r="E279" s="23"/>
    </row>
    <row r="280" spans="1:5" x14ac:dyDescent="0.25">
      <c r="A280" s="24"/>
      <c r="B280" s="23"/>
      <c r="C280" s="28"/>
      <c r="D280" s="25"/>
      <c r="E280" s="23"/>
    </row>
    <row r="281" spans="1:5" x14ac:dyDescent="0.25">
      <c r="A281" s="24"/>
      <c r="B281" s="23"/>
      <c r="C281" s="28"/>
      <c r="D281" s="25"/>
      <c r="E281" s="23"/>
    </row>
    <row r="282" spans="1:5" x14ac:dyDescent="0.25">
      <c r="A282" s="24"/>
      <c r="B282" s="23"/>
      <c r="C282" s="28"/>
      <c r="D282" s="25"/>
      <c r="E282" s="23"/>
    </row>
    <row r="283" spans="1:5" x14ac:dyDescent="0.25">
      <c r="A283" s="24"/>
      <c r="B283" s="23"/>
      <c r="C283" s="28"/>
      <c r="D283" s="25"/>
      <c r="E283" s="23"/>
    </row>
    <row r="284" spans="1:5" x14ac:dyDescent="0.25">
      <c r="A284" s="24"/>
      <c r="B284" s="23"/>
      <c r="C284" s="28"/>
      <c r="D284" s="25"/>
      <c r="E284" s="23"/>
    </row>
    <row r="285" spans="1:5" x14ac:dyDescent="0.25">
      <c r="A285" s="24"/>
      <c r="B285" s="23"/>
      <c r="C285" s="28"/>
      <c r="D285" s="25"/>
      <c r="E285" s="23"/>
    </row>
    <row r="286" spans="1:5" x14ac:dyDescent="0.25">
      <c r="A286" s="24"/>
      <c r="B286" s="23"/>
      <c r="C286" s="28"/>
      <c r="D286" s="25"/>
      <c r="E286" s="23"/>
    </row>
    <row r="287" spans="1:5" x14ac:dyDescent="0.25">
      <c r="A287" s="24"/>
      <c r="B287" s="23"/>
      <c r="C287" s="28"/>
      <c r="D287" s="25"/>
      <c r="E287" s="23"/>
    </row>
    <row r="288" spans="1:5" x14ac:dyDescent="0.25">
      <c r="A288" s="24"/>
      <c r="B288" s="23"/>
      <c r="C288" s="28"/>
      <c r="D288" s="25"/>
      <c r="E288" s="23"/>
    </row>
    <row r="289" spans="1:5" x14ac:dyDescent="0.25">
      <c r="A289" s="24"/>
      <c r="B289" s="23"/>
      <c r="C289" s="28"/>
      <c r="D289" s="25"/>
      <c r="E289" s="23"/>
    </row>
    <row r="290" spans="1:5" x14ac:dyDescent="0.25">
      <c r="A290" s="24"/>
      <c r="B290" s="23"/>
      <c r="C290" s="28"/>
      <c r="D290" s="25"/>
      <c r="E290" s="23"/>
    </row>
    <row r="291" spans="1:5" x14ac:dyDescent="0.25">
      <c r="A291" s="24"/>
      <c r="B291" s="23"/>
      <c r="C291" s="28"/>
      <c r="D291" s="25"/>
      <c r="E291" s="23"/>
    </row>
    <row r="292" spans="1:5" x14ac:dyDescent="0.25">
      <c r="A292" s="24"/>
      <c r="B292" s="23"/>
      <c r="C292" s="28"/>
      <c r="D292" s="25"/>
      <c r="E292" s="23"/>
    </row>
    <row r="293" spans="1:5" x14ac:dyDescent="0.25">
      <c r="A293" s="24"/>
      <c r="B293" s="23"/>
      <c r="C293" s="28"/>
      <c r="D293" s="25"/>
      <c r="E293" s="23"/>
    </row>
    <row r="294" spans="1:5" x14ac:dyDescent="0.25">
      <c r="A294" s="24"/>
      <c r="B294" s="23"/>
      <c r="C294" s="28"/>
      <c r="D294" s="25"/>
      <c r="E294" s="23"/>
    </row>
    <row r="295" spans="1:5" x14ac:dyDescent="0.25">
      <c r="A295" s="24"/>
      <c r="B295" s="23"/>
      <c r="C295" s="28"/>
      <c r="D295" s="25"/>
      <c r="E295" s="23"/>
    </row>
    <row r="296" spans="1:5" x14ac:dyDescent="0.25">
      <c r="A296" s="24"/>
      <c r="B296" s="23"/>
      <c r="C296" s="28"/>
      <c r="D296" s="25"/>
      <c r="E296" s="23"/>
    </row>
    <row r="297" spans="1:5" x14ac:dyDescent="0.25">
      <c r="A297" s="24"/>
      <c r="B297" s="23"/>
      <c r="C297" s="28"/>
      <c r="D297" s="25"/>
      <c r="E297" s="23"/>
    </row>
    <row r="298" spans="1:5" x14ac:dyDescent="0.25">
      <c r="A298" s="24"/>
      <c r="B298" s="23"/>
      <c r="C298" s="28"/>
      <c r="D298" s="25"/>
      <c r="E298" s="23"/>
    </row>
    <row r="299" spans="1:5" x14ac:dyDescent="0.25">
      <c r="A299" s="24"/>
      <c r="B299" s="23"/>
      <c r="C299" s="28"/>
      <c r="D299" s="25"/>
      <c r="E299" s="23"/>
    </row>
    <row r="300" spans="1:5" x14ac:dyDescent="0.25">
      <c r="A300" s="24"/>
      <c r="B300" s="23"/>
      <c r="C300" s="28"/>
      <c r="D300" s="25"/>
      <c r="E300" s="23"/>
    </row>
    <row r="301" spans="1:5" x14ac:dyDescent="0.25">
      <c r="A301" s="24"/>
      <c r="B301" s="23"/>
      <c r="C301" s="28"/>
      <c r="D301" s="25"/>
      <c r="E301" s="23"/>
    </row>
    <row r="302" spans="1:5" x14ac:dyDescent="0.25">
      <c r="A302" s="24"/>
      <c r="B302" s="23"/>
      <c r="C302" s="28"/>
      <c r="D302" s="25"/>
      <c r="E302" s="23"/>
    </row>
    <row r="303" spans="1:5" x14ac:dyDescent="0.25">
      <c r="A303" s="24"/>
      <c r="B303" s="23"/>
      <c r="C303" s="28"/>
      <c r="D303" s="25"/>
      <c r="E303" s="23"/>
    </row>
    <row r="304" spans="1:5" x14ac:dyDescent="0.25">
      <c r="A304" s="24"/>
      <c r="B304" s="23"/>
      <c r="C304" s="28"/>
      <c r="D304" s="25"/>
      <c r="E304" s="23"/>
    </row>
    <row r="305" spans="1:5" x14ac:dyDescent="0.25">
      <c r="A305" s="24"/>
      <c r="B305" s="23"/>
      <c r="C305" s="28"/>
      <c r="D305" s="25"/>
      <c r="E305" s="23"/>
    </row>
    <row r="306" spans="1:5" x14ac:dyDescent="0.25">
      <c r="A306" s="24"/>
      <c r="B306" s="23"/>
      <c r="C306" s="28"/>
      <c r="D306" s="25"/>
      <c r="E306" s="23"/>
    </row>
    <row r="307" spans="1:5" x14ac:dyDescent="0.25">
      <c r="A307" s="24"/>
      <c r="B307" s="23"/>
      <c r="C307" s="28"/>
      <c r="D307" s="25"/>
      <c r="E307" s="23"/>
    </row>
    <row r="308" spans="1:5" x14ac:dyDescent="0.25">
      <c r="A308" s="24"/>
      <c r="B308" s="23"/>
      <c r="C308" s="28"/>
      <c r="D308" s="25"/>
      <c r="E308" s="23"/>
    </row>
    <row r="309" spans="1:5" x14ac:dyDescent="0.25">
      <c r="A309" s="24"/>
      <c r="B309" s="23"/>
      <c r="C309" s="28"/>
      <c r="D309" s="25"/>
      <c r="E309" s="23"/>
    </row>
    <row r="310" spans="1:5" x14ac:dyDescent="0.25">
      <c r="A310" s="24"/>
      <c r="B310" s="23"/>
      <c r="C310" s="28"/>
      <c r="D310" s="25"/>
      <c r="E310" s="23"/>
    </row>
    <row r="311" spans="1:5" x14ac:dyDescent="0.25">
      <c r="A311" s="24"/>
      <c r="B311" s="23"/>
      <c r="C311" s="28"/>
      <c r="D311" s="25"/>
      <c r="E311" s="23"/>
    </row>
    <row r="312" spans="1:5" x14ac:dyDescent="0.25">
      <c r="A312" s="24"/>
      <c r="B312" s="23"/>
      <c r="C312" s="28"/>
      <c r="D312" s="25"/>
      <c r="E312" s="23"/>
    </row>
    <row r="313" spans="1:5" x14ac:dyDescent="0.25">
      <c r="A313" s="24"/>
      <c r="B313" s="23"/>
      <c r="C313" s="28"/>
      <c r="D313" s="25"/>
      <c r="E313" s="23"/>
    </row>
    <row r="314" spans="1:5" x14ac:dyDescent="0.25">
      <c r="A314" s="24"/>
      <c r="B314" s="23"/>
      <c r="C314" s="28"/>
      <c r="D314" s="25"/>
      <c r="E314" s="23"/>
    </row>
    <row r="315" spans="1:5" x14ac:dyDescent="0.25">
      <c r="A315" s="24"/>
      <c r="B315" s="23"/>
      <c r="C315" s="28"/>
      <c r="D315" s="25"/>
      <c r="E315" s="23"/>
    </row>
    <row r="316" spans="1:5" x14ac:dyDescent="0.25">
      <c r="A316" s="24"/>
      <c r="B316" s="23"/>
      <c r="C316" s="28"/>
      <c r="D316" s="25"/>
      <c r="E316" s="23"/>
    </row>
    <row r="317" spans="1:5" x14ac:dyDescent="0.25">
      <c r="A317" s="24"/>
      <c r="B317" s="23"/>
      <c r="C317" s="28"/>
      <c r="D317" s="25"/>
      <c r="E317" s="23"/>
    </row>
    <row r="318" spans="1:5" x14ac:dyDescent="0.25">
      <c r="A318" s="24"/>
      <c r="B318" s="23"/>
      <c r="C318" s="28"/>
      <c r="D318" s="25"/>
      <c r="E318" s="23"/>
    </row>
    <row r="319" spans="1:5" x14ac:dyDescent="0.25">
      <c r="A319" s="24"/>
      <c r="B319" s="23"/>
      <c r="C319" s="28"/>
      <c r="D319" s="25"/>
      <c r="E319" s="23"/>
    </row>
    <row r="320" spans="1:5" x14ac:dyDescent="0.25">
      <c r="A320" s="24"/>
      <c r="B320" s="23"/>
      <c r="C320" s="28"/>
      <c r="D320" s="25"/>
      <c r="E320" s="23"/>
    </row>
    <row r="321" spans="1:5" x14ac:dyDescent="0.25">
      <c r="A321" s="24"/>
      <c r="B321" s="23"/>
      <c r="C321" s="28"/>
      <c r="D321" s="25"/>
      <c r="E321" s="23"/>
    </row>
    <row r="322" spans="1:5" x14ac:dyDescent="0.25">
      <c r="A322" s="24"/>
      <c r="B322" s="23"/>
      <c r="C322" s="28"/>
      <c r="D322" s="25"/>
      <c r="E322" s="23"/>
    </row>
    <row r="323" spans="1:5" x14ac:dyDescent="0.25">
      <c r="A323" s="24"/>
      <c r="B323" s="23"/>
      <c r="C323" s="28"/>
      <c r="D323" s="25"/>
      <c r="E323" s="23"/>
    </row>
    <row r="324" spans="1:5" x14ac:dyDescent="0.25">
      <c r="A324" s="24"/>
      <c r="B324" s="23"/>
      <c r="C324" s="28"/>
      <c r="D324" s="25"/>
      <c r="E324" s="23"/>
    </row>
    <row r="325" spans="1:5" x14ac:dyDescent="0.25">
      <c r="A325" s="24"/>
      <c r="B325" s="23"/>
      <c r="C325" s="28"/>
      <c r="D325" s="25"/>
      <c r="E325" s="23"/>
    </row>
    <row r="326" spans="1:5" x14ac:dyDescent="0.25">
      <c r="A326" s="24"/>
      <c r="B326" s="23"/>
      <c r="C326" s="28"/>
      <c r="D326" s="25"/>
      <c r="E326" s="23"/>
    </row>
    <row r="327" spans="1:5" x14ac:dyDescent="0.25">
      <c r="A327" s="24"/>
      <c r="B327" s="23"/>
      <c r="C327" s="28"/>
      <c r="D327" s="25"/>
      <c r="E327" s="23"/>
    </row>
    <row r="328" spans="1:5" x14ac:dyDescent="0.25">
      <c r="A328" s="24"/>
      <c r="B328" s="23"/>
      <c r="C328" s="28"/>
      <c r="D328" s="25"/>
      <c r="E328" s="23"/>
    </row>
    <row r="329" spans="1:5" x14ac:dyDescent="0.25">
      <c r="A329" s="24"/>
      <c r="B329" s="23"/>
      <c r="C329" s="28"/>
      <c r="D329" s="25"/>
      <c r="E329" s="23"/>
    </row>
    <row r="330" spans="1:5" x14ac:dyDescent="0.25">
      <c r="A330" s="24"/>
      <c r="B330" s="23"/>
      <c r="C330" s="28"/>
      <c r="D330" s="25"/>
      <c r="E330" s="23"/>
    </row>
    <row r="331" spans="1:5" x14ac:dyDescent="0.25">
      <c r="A331" s="24"/>
      <c r="B331" s="23"/>
      <c r="C331" s="28"/>
      <c r="D331" s="25"/>
      <c r="E331" s="23"/>
    </row>
    <row r="332" spans="1:5" x14ac:dyDescent="0.25">
      <c r="A332" s="24"/>
      <c r="B332" s="23"/>
      <c r="C332" s="28"/>
      <c r="D332" s="25"/>
      <c r="E332" s="23"/>
    </row>
    <row r="333" spans="1:5" x14ac:dyDescent="0.25">
      <c r="A333" s="24"/>
      <c r="B333" s="23"/>
      <c r="C333" s="28"/>
      <c r="D333" s="25"/>
      <c r="E333" s="23"/>
    </row>
    <row r="334" spans="1:5" x14ac:dyDescent="0.25">
      <c r="A334" s="24"/>
      <c r="B334" s="23"/>
      <c r="C334" s="28"/>
      <c r="D334" s="25"/>
      <c r="E334" s="23"/>
    </row>
    <row r="335" spans="1:5" x14ac:dyDescent="0.25">
      <c r="A335" s="24"/>
      <c r="B335" s="23"/>
      <c r="C335" s="28"/>
      <c r="D335" s="25"/>
      <c r="E335" s="23"/>
    </row>
    <row r="336" spans="1:5" x14ac:dyDescent="0.25">
      <c r="A336" s="24"/>
      <c r="B336" s="23"/>
      <c r="C336" s="28"/>
      <c r="D336" s="25"/>
      <c r="E336" s="23"/>
    </row>
    <row r="337" spans="1:5" x14ac:dyDescent="0.25">
      <c r="A337" s="24"/>
      <c r="B337" s="23"/>
      <c r="C337" s="28"/>
      <c r="D337" s="25"/>
      <c r="E337" s="23"/>
    </row>
    <row r="338" spans="1:5" x14ac:dyDescent="0.25">
      <c r="A338" s="24"/>
      <c r="B338" s="23"/>
      <c r="C338" s="28"/>
      <c r="D338" s="25"/>
      <c r="E338" s="23"/>
    </row>
    <row r="339" spans="1:5" x14ac:dyDescent="0.25">
      <c r="A339" s="24"/>
      <c r="B339" s="23"/>
      <c r="C339" s="28"/>
      <c r="D339" s="25"/>
      <c r="E339" s="23"/>
    </row>
    <row r="340" spans="1:5" x14ac:dyDescent="0.25">
      <c r="A340" s="24"/>
      <c r="B340" s="23"/>
      <c r="C340" s="28"/>
      <c r="D340" s="25"/>
      <c r="E340" s="23"/>
    </row>
    <row r="341" spans="1:5" x14ac:dyDescent="0.25">
      <c r="A341" s="24"/>
      <c r="B341" s="23"/>
      <c r="C341" s="28"/>
      <c r="D341" s="25"/>
      <c r="E341" s="23"/>
    </row>
    <row r="342" spans="1:5" x14ac:dyDescent="0.25">
      <c r="A342" s="24"/>
      <c r="B342" s="23"/>
      <c r="C342" s="28"/>
      <c r="D342" s="25"/>
      <c r="E342" s="23"/>
    </row>
    <row r="343" spans="1:5" x14ac:dyDescent="0.25">
      <c r="A343" s="24"/>
      <c r="B343" s="23"/>
      <c r="C343" s="28"/>
      <c r="D343" s="25"/>
      <c r="E343" s="23"/>
    </row>
    <row r="344" spans="1:5" x14ac:dyDescent="0.25">
      <c r="A344" s="24"/>
      <c r="B344" s="23"/>
      <c r="C344" s="28"/>
      <c r="D344" s="25"/>
      <c r="E344" s="23"/>
    </row>
    <row r="345" spans="1:5" x14ac:dyDescent="0.25">
      <c r="A345" s="24"/>
      <c r="B345" s="23"/>
      <c r="C345" s="28"/>
      <c r="D345" s="25"/>
      <c r="E345" s="23"/>
    </row>
    <row r="346" spans="1:5" x14ac:dyDescent="0.25">
      <c r="A346" s="24"/>
      <c r="B346" s="23"/>
      <c r="C346" s="28"/>
      <c r="D346" s="25"/>
      <c r="E346" s="23"/>
    </row>
    <row r="347" spans="1:5" x14ac:dyDescent="0.25">
      <c r="A347" s="24"/>
      <c r="B347" s="23"/>
      <c r="C347" s="28"/>
      <c r="D347" s="25"/>
      <c r="E347" s="23"/>
    </row>
    <row r="348" spans="1:5" x14ac:dyDescent="0.25">
      <c r="A348" s="24"/>
      <c r="B348" s="23"/>
      <c r="C348" s="28"/>
      <c r="D348" s="25"/>
      <c r="E348" s="23"/>
    </row>
    <row r="349" spans="1:5" x14ac:dyDescent="0.25">
      <c r="A349" s="24"/>
      <c r="B349" s="23"/>
      <c r="C349" s="28"/>
      <c r="D349" s="25"/>
      <c r="E349" s="23"/>
    </row>
    <row r="350" spans="1:5" x14ac:dyDescent="0.25">
      <c r="A350" s="24"/>
      <c r="B350" s="23"/>
      <c r="C350" s="28"/>
      <c r="D350" s="25"/>
      <c r="E350" s="23"/>
    </row>
    <row r="351" spans="1:5" x14ac:dyDescent="0.25">
      <c r="A351" s="24"/>
      <c r="B351" s="23"/>
      <c r="C351" s="28"/>
      <c r="D351" s="25"/>
      <c r="E351" s="23"/>
    </row>
    <row r="352" spans="1:5" x14ac:dyDescent="0.25">
      <c r="A352" s="24"/>
      <c r="B352" s="23"/>
      <c r="C352" s="28"/>
      <c r="D352" s="25"/>
      <c r="E352" s="23"/>
    </row>
    <row r="353" spans="1:5" x14ac:dyDescent="0.25">
      <c r="A353" s="24"/>
      <c r="B353" s="23"/>
      <c r="C353" s="28"/>
      <c r="D353" s="25"/>
      <c r="E353" s="23"/>
    </row>
    <row r="354" spans="1:5" x14ac:dyDescent="0.25">
      <c r="A354" s="24"/>
      <c r="B354" s="23"/>
      <c r="C354" s="28"/>
      <c r="D354" s="25"/>
      <c r="E354" s="23"/>
    </row>
    <row r="355" spans="1:5" x14ac:dyDescent="0.25">
      <c r="A355" s="24"/>
      <c r="B355" s="23"/>
      <c r="C355" s="28"/>
      <c r="D355" s="25"/>
      <c r="E355" s="23"/>
    </row>
    <row r="356" spans="1:5" x14ac:dyDescent="0.25">
      <c r="A356" s="24"/>
      <c r="B356" s="23"/>
      <c r="C356" s="28"/>
      <c r="D356" s="25"/>
      <c r="E356" s="23"/>
    </row>
    <row r="357" spans="1:5" x14ac:dyDescent="0.25">
      <c r="A357" s="24"/>
      <c r="B357" s="23"/>
      <c r="C357" s="28"/>
      <c r="D357" s="25"/>
      <c r="E357" s="23"/>
    </row>
    <row r="358" spans="1:5" x14ac:dyDescent="0.25">
      <c r="A358" s="24"/>
      <c r="B358" s="23"/>
      <c r="C358" s="28"/>
      <c r="D358" s="25"/>
      <c r="E358" s="23"/>
    </row>
    <row r="359" spans="1:5" x14ac:dyDescent="0.25">
      <c r="A359" s="24"/>
      <c r="B359" s="23"/>
      <c r="C359" s="28"/>
      <c r="D359" s="25"/>
      <c r="E359" s="23"/>
    </row>
    <row r="360" spans="1:5" x14ac:dyDescent="0.25">
      <c r="A360" s="24"/>
      <c r="B360" s="23"/>
      <c r="C360" s="28"/>
      <c r="D360" s="25"/>
      <c r="E360" s="23"/>
    </row>
    <row r="361" spans="1:5" x14ac:dyDescent="0.25">
      <c r="A361" s="24"/>
      <c r="B361" s="23"/>
      <c r="C361" s="28"/>
      <c r="D361" s="25"/>
      <c r="E361" s="23"/>
    </row>
    <row r="362" spans="1:5" x14ac:dyDescent="0.25">
      <c r="A362" s="24"/>
      <c r="B362" s="23"/>
      <c r="C362" s="28"/>
      <c r="D362" s="25"/>
      <c r="E362" s="23"/>
    </row>
    <row r="363" spans="1:5" x14ac:dyDescent="0.25">
      <c r="A363" s="24"/>
      <c r="B363" s="23"/>
      <c r="C363" s="28"/>
      <c r="D363" s="25"/>
      <c r="E363" s="23"/>
    </row>
    <row r="364" spans="1:5" x14ac:dyDescent="0.25">
      <c r="A364" s="24"/>
      <c r="B364" s="23"/>
      <c r="C364" s="28"/>
      <c r="D364" s="25"/>
      <c r="E364" s="23"/>
    </row>
    <row r="365" spans="1:5" x14ac:dyDescent="0.25">
      <c r="A365" s="24"/>
      <c r="B365" s="23"/>
      <c r="C365" s="28"/>
      <c r="D365" s="25"/>
      <c r="E365" s="23"/>
    </row>
    <row r="366" spans="1:5" x14ac:dyDescent="0.25">
      <c r="A366" s="24"/>
      <c r="B366" s="23"/>
      <c r="C366" s="28"/>
      <c r="D366" s="25"/>
      <c r="E366" s="23"/>
    </row>
    <row r="367" spans="1:5" x14ac:dyDescent="0.25">
      <c r="A367" s="24"/>
      <c r="B367" s="23"/>
      <c r="C367" s="28"/>
      <c r="D367" s="25"/>
      <c r="E367" s="23"/>
    </row>
    <row r="368" spans="1:5" x14ac:dyDescent="0.25">
      <c r="A368" s="24"/>
      <c r="B368" s="23"/>
      <c r="C368" s="28"/>
      <c r="D368" s="25"/>
      <c r="E368" s="23"/>
    </row>
    <row r="369" spans="1:5" x14ac:dyDescent="0.25">
      <c r="A369" s="24"/>
      <c r="B369" s="23"/>
      <c r="C369" s="28"/>
      <c r="D369" s="25"/>
      <c r="E369" s="23"/>
    </row>
    <row r="370" spans="1:5" x14ac:dyDescent="0.25">
      <c r="A370" s="24"/>
      <c r="B370" s="23"/>
      <c r="C370" s="28"/>
      <c r="D370" s="25"/>
      <c r="E370" s="23"/>
    </row>
    <row r="371" spans="1:5" x14ac:dyDescent="0.25">
      <c r="A371" s="24"/>
      <c r="B371" s="23"/>
      <c r="C371" s="28"/>
      <c r="D371" s="25"/>
      <c r="E371" s="23"/>
    </row>
    <row r="372" spans="1:5" x14ac:dyDescent="0.25">
      <c r="A372" s="24"/>
      <c r="B372" s="23"/>
      <c r="C372" s="28"/>
      <c r="D372" s="25"/>
      <c r="E372" s="23"/>
    </row>
    <row r="373" spans="1:5" x14ac:dyDescent="0.25">
      <c r="A373" s="24"/>
      <c r="B373" s="23"/>
      <c r="C373" s="28"/>
      <c r="D373" s="25"/>
      <c r="E373" s="23"/>
    </row>
    <row r="374" spans="1:5" x14ac:dyDescent="0.25">
      <c r="A374" s="24"/>
      <c r="B374" s="23"/>
      <c r="C374" s="28"/>
      <c r="D374" s="25"/>
      <c r="E374" s="23"/>
    </row>
    <row r="375" spans="1:5" x14ac:dyDescent="0.25">
      <c r="A375" s="24"/>
      <c r="B375" s="23"/>
      <c r="C375" s="28"/>
      <c r="D375" s="25"/>
      <c r="E375" s="23"/>
    </row>
    <row r="376" spans="1:5" x14ac:dyDescent="0.25">
      <c r="A376" s="24"/>
      <c r="B376" s="23"/>
      <c r="C376" s="28"/>
      <c r="D376" s="25"/>
      <c r="E376" s="23"/>
    </row>
    <row r="377" spans="1:5" x14ac:dyDescent="0.25">
      <c r="A377" s="24"/>
      <c r="B377" s="23"/>
      <c r="C377" s="28"/>
      <c r="D377" s="25"/>
      <c r="E377" s="23"/>
    </row>
    <row r="378" spans="1:5" x14ac:dyDescent="0.25">
      <c r="A378" s="24"/>
      <c r="B378" s="23"/>
      <c r="C378" s="28"/>
      <c r="D378" s="25"/>
      <c r="E378" s="23"/>
    </row>
    <row r="379" spans="1:5" x14ac:dyDescent="0.25">
      <c r="A379" s="24"/>
      <c r="B379" s="23"/>
      <c r="C379" s="28"/>
      <c r="D379" s="25"/>
      <c r="E379" s="23"/>
    </row>
    <row r="380" spans="1:5" x14ac:dyDescent="0.25">
      <c r="A380" s="24"/>
      <c r="B380" s="23"/>
      <c r="C380" s="28"/>
      <c r="D380" s="25"/>
      <c r="E380" s="23"/>
    </row>
    <row r="381" spans="1:5" x14ac:dyDescent="0.25">
      <c r="A381" s="24"/>
      <c r="B381" s="23"/>
      <c r="C381" s="28"/>
      <c r="D381" s="25"/>
      <c r="E381" s="23"/>
    </row>
    <row r="382" spans="1:5" x14ac:dyDescent="0.25">
      <c r="A382" s="24"/>
      <c r="B382" s="23"/>
      <c r="C382" s="28"/>
      <c r="D382" s="25"/>
      <c r="E382" s="23"/>
    </row>
    <row r="383" spans="1:5" x14ac:dyDescent="0.25">
      <c r="A383" s="24"/>
      <c r="B383" s="23"/>
      <c r="C383" s="28"/>
      <c r="D383" s="25"/>
      <c r="E383" s="23"/>
    </row>
    <row r="384" spans="1:5" x14ac:dyDescent="0.25">
      <c r="A384" s="24"/>
      <c r="B384" s="23"/>
      <c r="C384" s="28"/>
      <c r="D384" s="25"/>
      <c r="E384" s="23"/>
    </row>
    <row r="385" spans="1:5" x14ac:dyDescent="0.25">
      <c r="A385" s="24"/>
      <c r="B385" s="23"/>
      <c r="C385" s="28"/>
      <c r="D385" s="25"/>
      <c r="E385" s="23"/>
    </row>
    <row r="386" spans="1:5" x14ac:dyDescent="0.25">
      <c r="A386" s="24"/>
      <c r="B386" s="23"/>
      <c r="C386" s="28"/>
      <c r="D386" s="25"/>
      <c r="E386" s="23"/>
    </row>
    <row r="387" spans="1:5" x14ac:dyDescent="0.25">
      <c r="A387" s="24"/>
      <c r="B387" s="23"/>
      <c r="C387" s="28"/>
      <c r="D387" s="25"/>
      <c r="E387" s="23"/>
    </row>
    <row r="388" spans="1:5" x14ac:dyDescent="0.25">
      <c r="A388" s="24"/>
      <c r="B388" s="23"/>
      <c r="C388" s="28"/>
      <c r="D388" s="25"/>
      <c r="E388" s="23"/>
    </row>
    <row r="389" spans="1:5" x14ac:dyDescent="0.25">
      <c r="A389" s="24"/>
      <c r="B389" s="23"/>
      <c r="C389" s="28"/>
      <c r="D389" s="25"/>
      <c r="E389" s="23"/>
    </row>
    <row r="390" spans="1:5" x14ac:dyDescent="0.25">
      <c r="A390" s="24"/>
      <c r="B390" s="23"/>
      <c r="C390" s="28"/>
      <c r="D390" s="25"/>
      <c r="E390" s="23"/>
    </row>
    <row r="391" spans="1:5" x14ac:dyDescent="0.25">
      <c r="A391" s="24"/>
      <c r="B391" s="23"/>
      <c r="C391" s="28"/>
      <c r="D391" s="25"/>
      <c r="E391" s="23"/>
    </row>
    <row r="392" spans="1:5" x14ac:dyDescent="0.25">
      <c r="A392" s="24"/>
      <c r="B392" s="23"/>
      <c r="C392" s="28"/>
      <c r="D392" s="25"/>
      <c r="E392" s="23"/>
    </row>
    <row r="393" spans="1:5" x14ac:dyDescent="0.25">
      <c r="A393" s="24"/>
      <c r="B393" s="23"/>
      <c r="C393" s="28"/>
      <c r="D393" s="25"/>
      <c r="E393" s="23"/>
    </row>
    <row r="394" spans="1:5" x14ac:dyDescent="0.25">
      <c r="A394" s="24"/>
      <c r="B394" s="23"/>
      <c r="C394" s="28"/>
      <c r="D394" s="25"/>
      <c r="E394" s="23"/>
    </row>
    <row r="395" spans="1:5" x14ac:dyDescent="0.25">
      <c r="A395" s="24"/>
      <c r="B395" s="23"/>
      <c r="C395" s="28"/>
      <c r="D395" s="25"/>
      <c r="E395" s="23"/>
    </row>
    <row r="396" spans="1:5" x14ac:dyDescent="0.25">
      <c r="A396" s="24"/>
      <c r="B396" s="23"/>
      <c r="C396" s="28"/>
      <c r="D396" s="25"/>
      <c r="E396" s="23"/>
    </row>
    <row r="397" spans="1:5" x14ac:dyDescent="0.25">
      <c r="A397" s="24"/>
      <c r="B397" s="23"/>
      <c r="C397" s="28"/>
      <c r="D397" s="25"/>
      <c r="E397" s="23"/>
    </row>
    <row r="398" spans="1:5" x14ac:dyDescent="0.25">
      <c r="A398" s="24"/>
      <c r="B398" s="23"/>
      <c r="C398" s="28"/>
      <c r="D398" s="25"/>
      <c r="E398" s="23"/>
    </row>
    <row r="399" spans="1:5" x14ac:dyDescent="0.25">
      <c r="A399" s="24"/>
      <c r="B399" s="23"/>
      <c r="C399" s="28"/>
      <c r="D399" s="25"/>
      <c r="E399" s="23"/>
    </row>
    <row r="400" spans="1:5" x14ac:dyDescent="0.25">
      <c r="A400" s="24"/>
      <c r="B400" s="23"/>
      <c r="C400" s="28"/>
      <c r="D400" s="25"/>
      <c r="E400" s="23"/>
    </row>
    <row r="401" spans="1:5" x14ac:dyDescent="0.25">
      <c r="A401" s="24"/>
      <c r="B401" s="23"/>
      <c r="C401" s="28"/>
      <c r="D401" s="25"/>
      <c r="E401" s="23"/>
    </row>
    <row r="402" spans="1:5" x14ac:dyDescent="0.25">
      <c r="A402" s="24"/>
      <c r="B402" s="23"/>
      <c r="C402" s="28"/>
      <c r="D402" s="25"/>
      <c r="E402" s="23"/>
    </row>
    <row r="403" spans="1:5" x14ac:dyDescent="0.25">
      <c r="A403" s="24"/>
      <c r="B403" s="23"/>
      <c r="C403" s="28"/>
      <c r="D403" s="25"/>
      <c r="E403" s="23"/>
    </row>
    <row r="404" spans="1:5" x14ac:dyDescent="0.25">
      <c r="A404" s="24"/>
      <c r="B404" s="23"/>
      <c r="C404" s="28"/>
      <c r="D404" s="25"/>
      <c r="E404" s="23"/>
    </row>
    <row r="405" spans="1:5" x14ac:dyDescent="0.25">
      <c r="A405" s="24"/>
      <c r="B405" s="23"/>
      <c r="C405" s="28"/>
      <c r="D405" s="25"/>
      <c r="E405" s="23"/>
    </row>
    <row r="406" spans="1:5" x14ac:dyDescent="0.25">
      <c r="A406" s="24"/>
      <c r="B406" s="23"/>
      <c r="C406" s="28"/>
      <c r="D406" s="25"/>
      <c r="E406" s="23"/>
    </row>
    <row r="407" spans="1:5" x14ac:dyDescent="0.25">
      <c r="A407" s="24"/>
      <c r="B407" s="23"/>
      <c r="C407" s="28"/>
      <c r="D407" s="25"/>
      <c r="E407" s="23"/>
    </row>
    <row r="408" spans="1:5" x14ac:dyDescent="0.25">
      <c r="A408" s="24"/>
      <c r="B408" s="23"/>
      <c r="C408" s="28"/>
      <c r="D408" s="25"/>
      <c r="E408" s="23"/>
    </row>
    <row r="409" spans="1:5" x14ac:dyDescent="0.25">
      <c r="A409" s="24"/>
      <c r="B409" s="23"/>
      <c r="C409" s="28"/>
      <c r="D409" s="25"/>
      <c r="E409" s="23"/>
    </row>
    <row r="410" spans="1:5" x14ac:dyDescent="0.25">
      <c r="A410" s="24"/>
      <c r="B410" s="23"/>
      <c r="C410" s="28"/>
      <c r="D410" s="25"/>
      <c r="E410" s="23"/>
    </row>
    <row r="411" spans="1:5" x14ac:dyDescent="0.25">
      <c r="A411" s="24"/>
      <c r="B411" s="23"/>
      <c r="C411" s="28"/>
      <c r="D411" s="25"/>
      <c r="E411" s="23"/>
    </row>
    <row r="412" spans="1:5" x14ac:dyDescent="0.25">
      <c r="A412" s="24"/>
      <c r="B412" s="23"/>
      <c r="C412" s="28"/>
      <c r="D412" s="25"/>
      <c r="E412" s="23"/>
    </row>
    <row r="413" spans="1:5" x14ac:dyDescent="0.25">
      <c r="A413" s="24"/>
      <c r="B413" s="23"/>
      <c r="C413" s="28"/>
      <c r="D413" s="25"/>
      <c r="E413" s="23"/>
    </row>
    <row r="414" spans="1:5" x14ac:dyDescent="0.25">
      <c r="A414" s="24"/>
      <c r="B414" s="23"/>
      <c r="C414" s="28"/>
      <c r="D414" s="25"/>
      <c r="E414" s="23"/>
    </row>
    <row r="415" spans="1:5" x14ac:dyDescent="0.25">
      <c r="A415" s="24"/>
      <c r="B415" s="23"/>
      <c r="C415" s="28"/>
      <c r="D415" s="25"/>
      <c r="E415" s="23"/>
    </row>
    <row r="416" spans="1:5" x14ac:dyDescent="0.25">
      <c r="A416" s="24"/>
      <c r="B416" s="23"/>
      <c r="C416" s="28"/>
      <c r="D416" s="25"/>
      <c r="E416" s="23"/>
    </row>
    <row r="417" spans="1:5" x14ac:dyDescent="0.25">
      <c r="A417" s="24"/>
      <c r="B417" s="23"/>
      <c r="C417" s="28"/>
      <c r="D417" s="25"/>
      <c r="E417" s="23"/>
    </row>
    <row r="418" spans="1:5" x14ac:dyDescent="0.25">
      <c r="A418" s="24"/>
      <c r="B418" s="23"/>
      <c r="C418" s="28"/>
      <c r="D418" s="25"/>
      <c r="E418" s="23"/>
    </row>
    <row r="419" spans="1:5" x14ac:dyDescent="0.25">
      <c r="A419" s="24"/>
      <c r="B419" s="23"/>
      <c r="C419" s="28"/>
      <c r="D419" s="25"/>
      <c r="E419" s="23"/>
    </row>
    <row r="420" spans="1:5" x14ac:dyDescent="0.25">
      <c r="A420" s="24"/>
      <c r="B420" s="23"/>
      <c r="C420" s="28"/>
      <c r="D420" s="25"/>
      <c r="E420" s="23"/>
    </row>
    <row r="421" spans="1:5" x14ac:dyDescent="0.25">
      <c r="A421" s="24"/>
      <c r="B421" s="23"/>
      <c r="C421" s="28"/>
      <c r="D421" s="25"/>
      <c r="E421" s="23"/>
    </row>
    <row r="422" spans="1:5" x14ac:dyDescent="0.25">
      <c r="A422" s="24"/>
      <c r="B422" s="23"/>
      <c r="C422" s="28"/>
      <c r="D422" s="25"/>
      <c r="E422" s="23"/>
    </row>
    <row r="423" spans="1:5" x14ac:dyDescent="0.25">
      <c r="A423" s="24"/>
      <c r="B423" s="23"/>
      <c r="C423" s="28"/>
      <c r="D423" s="25"/>
      <c r="E423" s="23"/>
    </row>
    <row r="424" spans="1:5" x14ac:dyDescent="0.25">
      <c r="A424" s="24"/>
      <c r="B424" s="23"/>
      <c r="C424" s="28"/>
      <c r="D424" s="25"/>
      <c r="E424" s="23"/>
    </row>
    <row r="425" spans="1:5" x14ac:dyDescent="0.25">
      <c r="A425" s="24"/>
      <c r="B425" s="23"/>
      <c r="C425" s="28"/>
      <c r="D425" s="25"/>
      <c r="E425" s="23"/>
    </row>
    <row r="426" spans="1:5" x14ac:dyDescent="0.25">
      <c r="A426" s="24"/>
      <c r="B426" s="23"/>
      <c r="C426" s="28"/>
      <c r="D426" s="25"/>
      <c r="E426" s="23"/>
    </row>
    <row r="427" spans="1:5" x14ac:dyDescent="0.25">
      <c r="A427" s="24"/>
      <c r="B427" s="23"/>
      <c r="C427" s="28"/>
      <c r="D427" s="25"/>
      <c r="E427" s="23"/>
    </row>
    <row r="428" spans="1:5" x14ac:dyDescent="0.25">
      <c r="A428" s="24"/>
      <c r="B428" s="23"/>
      <c r="C428" s="28"/>
      <c r="D428" s="25"/>
      <c r="E428" s="23"/>
    </row>
    <row r="429" spans="1:5" x14ac:dyDescent="0.25">
      <c r="A429" s="24"/>
      <c r="B429" s="23"/>
      <c r="C429" s="28"/>
      <c r="D429" s="25"/>
      <c r="E429" s="23"/>
    </row>
    <row r="430" spans="1:5" x14ac:dyDescent="0.25">
      <c r="A430" s="24"/>
      <c r="B430" s="23"/>
      <c r="C430" s="28"/>
      <c r="D430" s="25"/>
      <c r="E430" s="23"/>
    </row>
    <row r="431" spans="1:5" x14ac:dyDescent="0.25">
      <c r="A431" s="24"/>
      <c r="B431" s="23"/>
      <c r="C431" s="28"/>
      <c r="D431" s="25"/>
      <c r="E431" s="23"/>
    </row>
    <row r="432" spans="1:5" x14ac:dyDescent="0.25">
      <c r="A432" s="24"/>
      <c r="B432" s="23"/>
      <c r="C432" s="28"/>
      <c r="D432" s="25"/>
      <c r="E432" s="23"/>
    </row>
    <row r="433" spans="1:5" x14ac:dyDescent="0.25">
      <c r="A433" s="24"/>
      <c r="B433" s="23"/>
      <c r="C433" s="28"/>
      <c r="D433" s="25"/>
      <c r="E433" s="23"/>
    </row>
    <row r="434" spans="1:5" x14ac:dyDescent="0.25">
      <c r="A434" s="24"/>
      <c r="B434" s="23"/>
      <c r="C434" s="28"/>
      <c r="D434" s="25"/>
      <c r="E434" s="23"/>
    </row>
    <row r="435" spans="1:5" x14ac:dyDescent="0.25">
      <c r="A435" s="24"/>
      <c r="B435" s="23"/>
      <c r="C435" s="28"/>
      <c r="D435" s="25"/>
      <c r="E435" s="23"/>
    </row>
    <row r="436" spans="1:5" x14ac:dyDescent="0.25">
      <c r="A436" s="24"/>
      <c r="B436" s="23"/>
      <c r="C436" s="28"/>
      <c r="D436" s="25"/>
      <c r="E436" s="23"/>
    </row>
    <row r="437" spans="1:5" x14ac:dyDescent="0.25">
      <c r="A437" s="24"/>
      <c r="B437" s="23"/>
      <c r="C437" s="28"/>
      <c r="D437" s="25"/>
      <c r="E437" s="23"/>
    </row>
    <row r="438" spans="1:5" x14ac:dyDescent="0.25">
      <c r="A438" s="24"/>
      <c r="B438" s="23"/>
      <c r="C438" s="28"/>
      <c r="D438" s="25"/>
      <c r="E438" s="23"/>
    </row>
    <row r="439" spans="1:5" x14ac:dyDescent="0.25">
      <c r="A439" s="24"/>
      <c r="B439" s="23"/>
      <c r="C439" s="28"/>
      <c r="D439" s="25"/>
      <c r="E439" s="23"/>
    </row>
    <row r="440" spans="1:5" x14ac:dyDescent="0.25">
      <c r="A440" s="24"/>
      <c r="B440" s="23"/>
      <c r="C440" s="28"/>
      <c r="D440" s="25"/>
      <c r="E440" s="23"/>
    </row>
    <row r="441" spans="1:5" x14ac:dyDescent="0.25">
      <c r="A441" s="24"/>
      <c r="B441" s="23"/>
      <c r="C441" s="28"/>
      <c r="D441" s="25"/>
      <c r="E441" s="23"/>
    </row>
    <row r="442" spans="1:5" x14ac:dyDescent="0.25">
      <c r="A442" s="24"/>
      <c r="B442" s="23"/>
      <c r="C442" s="28"/>
      <c r="D442" s="25"/>
      <c r="E442" s="23"/>
    </row>
    <row r="443" spans="1:5" x14ac:dyDescent="0.25">
      <c r="A443" s="24"/>
      <c r="B443" s="23"/>
      <c r="C443" s="28"/>
      <c r="D443" s="25"/>
      <c r="E443" s="23"/>
    </row>
    <row r="444" spans="1:5" x14ac:dyDescent="0.25">
      <c r="A444" s="24"/>
      <c r="B444" s="23"/>
      <c r="C444" s="28"/>
      <c r="D444" s="25"/>
      <c r="E444" s="23"/>
    </row>
    <row r="445" spans="1:5" x14ac:dyDescent="0.25">
      <c r="A445" s="24"/>
      <c r="B445" s="23"/>
      <c r="C445" s="28"/>
      <c r="D445" s="25"/>
      <c r="E445" s="23"/>
    </row>
    <row r="446" spans="1:5" x14ac:dyDescent="0.25">
      <c r="A446" s="24"/>
      <c r="B446" s="23"/>
      <c r="C446" s="28"/>
      <c r="D446" s="25"/>
      <c r="E446" s="23"/>
    </row>
    <row r="447" spans="1:5" x14ac:dyDescent="0.25">
      <c r="A447" s="24"/>
      <c r="B447" s="23"/>
      <c r="C447" s="28"/>
      <c r="D447" s="25"/>
      <c r="E447" s="23"/>
    </row>
    <row r="448" spans="1:5" x14ac:dyDescent="0.25">
      <c r="A448" s="24"/>
      <c r="B448" s="23"/>
      <c r="C448" s="28"/>
      <c r="D448" s="25"/>
      <c r="E448" s="23"/>
    </row>
    <row r="449" spans="1:5" x14ac:dyDescent="0.25">
      <c r="A449" s="24"/>
      <c r="B449" s="23"/>
      <c r="C449" s="28"/>
      <c r="D449" s="25"/>
      <c r="E449" s="23"/>
    </row>
    <row r="450" spans="1:5" x14ac:dyDescent="0.25">
      <c r="A450" s="24"/>
      <c r="B450" s="23"/>
      <c r="C450" s="28"/>
      <c r="D450" s="25"/>
      <c r="E450" s="23"/>
    </row>
    <row r="451" spans="1:5" x14ac:dyDescent="0.25">
      <c r="A451" s="24"/>
      <c r="B451" s="23"/>
      <c r="C451" s="28"/>
      <c r="D451" s="25"/>
      <c r="E451" s="23"/>
    </row>
    <row r="452" spans="1:5" x14ac:dyDescent="0.25">
      <c r="A452" s="24"/>
      <c r="B452" s="23"/>
      <c r="C452" s="28"/>
      <c r="D452" s="25"/>
      <c r="E452" s="23"/>
    </row>
    <row r="453" spans="1:5" x14ac:dyDescent="0.25">
      <c r="A453" s="24"/>
      <c r="B453" s="23"/>
      <c r="C453" s="28"/>
      <c r="D453" s="25"/>
      <c r="E453" s="23"/>
    </row>
    <row r="454" spans="1:5" x14ac:dyDescent="0.25">
      <c r="A454" s="24"/>
      <c r="B454" s="23"/>
      <c r="C454" s="28"/>
      <c r="D454" s="25"/>
      <c r="E454" s="23"/>
    </row>
    <row r="455" spans="1:5" x14ac:dyDescent="0.25">
      <c r="A455" s="24"/>
      <c r="B455" s="23"/>
      <c r="C455" s="28"/>
      <c r="D455" s="25"/>
      <c r="E455" s="23"/>
    </row>
    <row r="456" spans="1:5" x14ac:dyDescent="0.25">
      <c r="A456" s="24"/>
      <c r="B456" s="23"/>
      <c r="C456" s="28"/>
      <c r="D456" s="25"/>
      <c r="E456" s="23"/>
    </row>
    <row r="457" spans="1:5" x14ac:dyDescent="0.25">
      <c r="A457" s="24"/>
      <c r="B457" s="23"/>
      <c r="C457" s="28"/>
      <c r="D457" s="25"/>
      <c r="E457" s="23"/>
    </row>
    <row r="458" spans="1:5" x14ac:dyDescent="0.25">
      <c r="A458" s="24"/>
      <c r="B458" s="23"/>
      <c r="C458" s="28"/>
      <c r="D458" s="25"/>
      <c r="E458" s="23"/>
    </row>
    <row r="459" spans="1:5" x14ac:dyDescent="0.25">
      <c r="A459" s="24"/>
      <c r="B459" s="23"/>
      <c r="C459" s="28"/>
      <c r="D459" s="25"/>
      <c r="E459" s="23"/>
    </row>
    <row r="460" spans="1:5" x14ac:dyDescent="0.25">
      <c r="A460" s="24"/>
      <c r="B460" s="23"/>
      <c r="C460" s="28"/>
      <c r="D460" s="25"/>
      <c r="E460" s="23"/>
    </row>
    <row r="461" spans="1:5" x14ac:dyDescent="0.25">
      <c r="A461" s="24"/>
      <c r="B461" s="23"/>
      <c r="C461" s="28"/>
      <c r="D461" s="25"/>
      <c r="E461" s="23"/>
    </row>
    <row r="462" spans="1:5" x14ac:dyDescent="0.25">
      <c r="A462" s="24"/>
      <c r="B462" s="23"/>
      <c r="C462" s="28"/>
      <c r="D462" s="25"/>
      <c r="E462" s="23"/>
    </row>
    <row r="463" spans="1:5" x14ac:dyDescent="0.25">
      <c r="A463" s="24"/>
      <c r="B463" s="23"/>
      <c r="C463" s="28"/>
      <c r="D463" s="25"/>
      <c r="E463" s="23"/>
    </row>
    <row r="464" spans="1:5" x14ac:dyDescent="0.25">
      <c r="A464" s="24"/>
      <c r="B464" s="23"/>
      <c r="C464" s="28"/>
      <c r="D464" s="25"/>
      <c r="E464" s="23"/>
    </row>
    <row r="465" spans="1:5" x14ac:dyDescent="0.25">
      <c r="A465" s="24"/>
      <c r="B465" s="23"/>
      <c r="C465" s="28"/>
      <c r="D465" s="25"/>
      <c r="E465" s="23"/>
    </row>
    <row r="466" spans="1:5" x14ac:dyDescent="0.25">
      <c r="A466" s="24"/>
      <c r="B466" s="23"/>
      <c r="C466" s="28"/>
      <c r="D466" s="25"/>
      <c r="E466" s="23"/>
    </row>
    <row r="467" spans="1:5" x14ac:dyDescent="0.25">
      <c r="A467" s="24"/>
      <c r="B467" s="23"/>
      <c r="C467" s="28"/>
      <c r="D467" s="25"/>
      <c r="E467" s="23"/>
    </row>
    <row r="468" spans="1:5" x14ac:dyDescent="0.25">
      <c r="A468" s="24"/>
      <c r="B468" s="23"/>
      <c r="C468" s="28"/>
      <c r="D468" s="25"/>
      <c r="E468" s="23"/>
    </row>
    <row r="469" spans="1:5" x14ac:dyDescent="0.25">
      <c r="A469" s="24"/>
      <c r="B469" s="23"/>
      <c r="C469" s="28"/>
      <c r="D469" s="25"/>
      <c r="E469" s="23"/>
    </row>
    <row r="470" spans="1:5" x14ac:dyDescent="0.25">
      <c r="A470" s="24"/>
      <c r="B470" s="23"/>
      <c r="C470" s="28"/>
      <c r="D470" s="25"/>
      <c r="E470" s="23"/>
    </row>
    <row r="471" spans="1:5" x14ac:dyDescent="0.25">
      <c r="A471" s="24"/>
      <c r="B471" s="23"/>
      <c r="C471" s="28"/>
      <c r="D471" s="25"/>
      <c r="E471" s="23"/>
    </row>
    <row r="472" spans="1:5" x14ac:dyDescent="0.25">
      <c r="A472" s="24"/>
      <c r="B472" s="23"/>
      <c r="C472" s="28"/>
      <c r="D472" s="25"/>
      <c r="E472" s="23"/>
    </row>
    <row r="473" spans="1:5" x14ac:dyDescent="0.25">
      <c r="A473" s="24"/>
      <c r="B473" s="23"/>
      <c r="C473" s="28"/>
      <c r="D473" s="25"/>
      <c r="E473" s="23"/>
    </row>
    <row r="474" spans="1:5" x14ac:dyDescent="0.25">
      <c r="A474" s="24"/>
      <c r="B474" s="23"/>
      <c r="C474" s="28"/>
      <c r="D474" s="25"/>
      <c r="E474" s="23"/>
    </row>
    <row r="475" spans="1:5" x14ac:dyDescent="0.25">
      <c r="A475" s="24"/>
      <c r="B475" s="23"/>
      <c r="C475" s="28"/>
      <c r="D475" s="25"/>
      <c r="E475" s="23"/>
    </row>
    <row r="476" spans="1:5" x14ac:dyDescent="0.25">
      <c r="A476" s="24"/>
      <c r="B476" s="23"/>
      <c r="C476" s="28"/>
      <c r="D476" s="25"/>
      <c r="E476" s="23"/>
    </row>
    <row r="477" spans="1:5" x14ac:dyDescent="0.25">
      <c r="A477" s="24"/>
      <c r="B477" s="23"/>
      <c r="C477" s="28"/>
      <c r="D477" s="25"/>
      <c r="E477" s="23"/>
    </row>
    <row r="478" spans="1:5" x14ac:dyDescent="0.25">
      <c r="A478" s="24"/>
      <c r="B478" s="23"/>
      <c r="C478" s="28"/>
      <c r="D478" s="25"/>
      <c r="E478" s="23"/>
    </row>
    <row r="479" spans="1:5" x14ac:dyDescent="0.25">
      <c r="A479" s="24"/>
      <c r="B479" s="23"/>
      <c r="C479" s="28"/>
      <c r="D479" s="25"/>
      <c r="E479" s="23"/>
    </row>
    <row r="480" spans="1:5" x14ac:dyDescent="0.25">
      <c r="A480" s="24"/>
      <c r="B480" s="23"/>
      <c r="C480" s="28"/>
      <c r="D480" s="25"/>
      <c r="E480" s="23"/>
    </row>
    <row r="481" spans="1:5" x14ac:dyDescent="0.25">
      <c r="A481" s="24"/>
      <c r="B481" s="23"/>
      <c r="C481" s="28"/>
      <c r="D481" s="25"/>
      <c r="E481" s="23"/>
    </row>
    <row r="482" spans="1:5" x14ac:dyDescent="0.25">
      <c r="A482" s="24"/>
      <c r="B482" s="23"/>
      <c r="C482" s="28"/>
      <c r="D482" s="25"/>
      <c r="E482" s="23"/>
    </row>
    <row r="483" spans="1:5" x14ac:dyDescent="0.25">
      <c r="A483" s="24"/>
      <c r="B483" s="23"/>
      <c r="C483" s="28"/>
      <c r="D483" s="25"/>
      <c r="E483" s="23"/>
    </row>
    <row r="484" spans="1:5" x14ac:dyDescent="0.25">
      <c r="A484" s="24"/>
      <c r="B484" s="23"/>
      <c r="C484" s="28"/>
      <c r="D484" s="25"/>
      <c r="E484" s="23"/>
    </row>
    <row r="485" spans="1:5" x14ac:dyDescent="0.25">
      <c r="A485" s="24"/>
      <c r="B485" s="23"/>
      <c r="C485" s="28"/>
      <c r="D485" s="25"/>
      <c r="E485" s="23"/>
    </row>
    <row r="486" spans="1:5" x14ac:dyDescent="0.25">
      <c r="A486" s="24"/>
      <c r="B486" s="23"/>
      <c r="C486" s="28"/>
      <c r="D486" s="25"/>
      <c r="E486" s="23"/>
    </row>
    <row r="487" spans="1:5" x14ac:dyDescent="0.25">
      <c r="A487" s="24"/>
      <c r="B487" s="23"/>
      <c r="C487" s="28"/>
      <c r="D487" s="25"/>
      <c r="E487" s="23"/>
    </row>
    <row r="488" spans="1:5" x14ac:dyDescent="0.25">
      <c r="A488" s="24"/>
      <c r="B488" s="23"/>
      <c r="C488" s="28"/>
      <c r="D488" s="25"/>
      <c r="E488" s="23"/>
    </row>
    <row r="489" spans="1:5" x14ac:dyDescent="0.25">
      <c r="A489" s="24"/>
      <c r="B489" s="23"/>
      <c r="C489" s="28"/>
      <c r="D489" s="25"/>
      <c r="E489" s="23"/>
    </row>
    <row r="490" spans="1:5" x14ac:dyDescent="0.25">
      <c r="A490" s="24"/>
      <c r="B490" s="23"/>
      <c r="C490" s="28"/>
      <c r="D490" s="25"/>
      <c r="E490" s="23"/>
    </row>
    <row r="491" spans="1:5" x14ac:dyDescent="0.25">
      <c r="A491" s="24"/>
      <c r="B491" s="23"/>
      <c r="C491" s="28"/>
      <c r="D491" s="25"/>
      <c r="E491" s="23"/>
    </row>
    <row r="492" spans="1:5" x14ac:dyDescent="0.25">
      <c r="A492" s="24"/>
      <c r="B492" s="23"/>
      <c r="C492" s="28"/>
      <c r="D492" s="25"/>
      <c r="E492" s="23"/>
    </row>
    <row r="493" spans="1:5" x14ac:dyDescent="0.25">
      <c r="A493" s="24"/>
      <c r="B493" s="23"/>
      <c r="C493" s="28"/>
      <c r="D493" s="25"/>
      <c r="E493" s="23"/>
    </row>
    <row r="494" spans="1:5" x14ac:dyDescent="0.25">
      <c r="A494" s="24"/>
      <c r="B494" s="23"/>
      <c r="C494" s="28"/>
      <c r="D494" s="25"/>
      <c r="E494" s="23"/>
    </row>
    <row r="495" spans="1:5" x14ac:dyDescent="0.25">
      <c r="A495" s="24"/>
      <c r="B495" s="23"/>
      <c r="C495" s="28"/>
      <c r="D495" s="25"/>
      <c r="E495" s="23"/>
    </row>
    <row r="496" spans="1:5" x14ac:dyDescent="0.25">
      <c r="A496" s="24"/>
      <c r="B496" s="23"/>
      <c r="C496" s="28"/>
      <c r="D496" s="25"/>
      <c r="E496" s="23"/>
    </row>
    <row r="497" spans="1:5" x14ac:dyDescent="0.25">
      <c r="A497" s="24"/>
      <c r="B497" s="23"/>
      <c r="C497" s="28"/>
      <c r="D497" s="25"/>
      <c r="E497" s="23"/>
    </row>
    <row r="498" spans="1:5" x14ac:dyDescent="0.25">
      <c r="A498" s="24"/>
      <c r="B498" s="23"/>
      <c r="C498" s="28"/>
      <c r="D498" s="25"/>
      <c r="E498" s="23"/>
    </row>
    <row r="499" spans="1:5" x14ac:dyDescent="0.25">
      <c r="A499" s="24"/>
      <c r="B499" s="23"/>
      <c r="C499" s="28"/>
      <c r="D499" s="25"/>
      <c r="E499" s="23"/>
    </row>
    <row r="500" spans="1:5" x14ac:dyDescent="0.25">
      <c r="A500" s="24"/>
      <c r="B500" s="23"/>
      <c r="C500" s="28"/>
      <c r="D500" s="25"/>
      <c r="E500" s="23"/>
    </row>
    <row r="501" spans="1:5" x14ac:dyDescent="0.25">
      <c r="A501" s="24"/>
      <c r="B501" s="23"/>
      <c r="C501" s="28"/>
      <c r="D501" s="25"/>
      <c r="E501" s="23"/>
    </row>
    <row r="502" spans="1:5" x14ac:dyDescent="0.25">
      <c r="A502" s="24"/>
      <c r="B502" s="23"/>
      <c r="C502" s="28"/>
      <c r="D502" s="25"/>
      <c r="E502" s="23"/>
    </row>
    <row r="503" spans="1:5" x14ac:dyDescent="0.25">
      <c r="A503" s="24"/>
      <c r="B503" s="23"/>
      <c r="C503" s="28"/>
      <c r="D503" s="25"/>
      <c r="E503" s="23"/>
    </row>
    <row r="504" spans="1:5" x14ac:dyDescent="0.25">
      <c r="A504" s="24"/>
      <c r="B504" s="23"/>
      <c r="C504" s="28"/>
      <c r="D504" s="25"/>
      <c r="E504" s="23"/>
    </row>
    <row r="505" spans="1:5" x14ac:dyDescent="0.25">
      <c r="A505" s="24"/>
      <c r="B505" s="23"/>
      <c r="C505" s="28"/>
      <c r="D505" s="25"/>
      <c r="E505" s="23"/>
    </row>
    <row r="506" spans="1:5" x14ac:dyDescent="0.25">
      <c r="A506" s="24"/>
      <c r="B506" s="23"/>
      <c r="C506" s="28"/>
      <c r="D506" s="25"/>
      <c r="E506" s="23"/>
    </row>
  </sheetData>
  <mergeCells count="1">
    <mergeCell ref="A1:E1"/>
  </mergeCells>
  <phoneticPr fontId="19" type="noConversion"/>
  <dataValidations count="1">
    <dataValidation type="list" allowBlank="1" sqref="D3:D506 E212" xr:uid="{00000000-0002-0000-0300-000001000000}">
      <formula1>"Espèces,MoMo,Orange Money,Virement,Autre"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Adhérents!$B$3:$B$202</xm:f>
          </x14:formula1>
          <x14:formula2>
            <xm:f>0</xm:f>
          </x14:formula2>
          <xm:sqref>B3:B183 B185:B506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25"/>
  <sheetViews>
    <sheetView showGridLines="0" topLeftCell="A7" zoomScaleNormal="100" workbookViewId="0"/>
  </sheetViews>
  <sheetFormatPr baseColWidth="10" defaultColWidth="8.7109375" defaultRowHeight="15" x14ac:dyDescent="0.25"/>
  <cols>
    <col min="1" max="1" width="3" customWidth="1"/>
    <col min="2" max="2" width="105" customWidth="1"/>
  </cols>
  <sheetData>
    <row r="2" spans="2:2" ht="18" x14ac:dyDescent="0.25">
      <c r="B2" s="14" t="s">
        <v>74</v>
      </c>
    </row>
    <row r="4" spans="2:2" ht="15.75" x14ac:dyDescent="0.25">
      <c r="B4" s="17" t="s">
        <v>75</v>
      </c>
    </row>
    <row r="5" spans="2:2" ht="31.5" customHeight="1" x14ac:dyDescent="0.25">
      <c r="B5" s="29" t="s">
        <v>76</v>
      </c>
    </row>
    <row r="7" spans="2:2" ht="31.5" customHeight="1" x14ac:dyDescent="0.25">
      <c r="B7" s="29" t="s">
        <v>77</v>
      </c>
    </row>
    <row r="9" spans="2:2" ht="31.5" customHeight="1" x14ac:dyDescent="0.25">
      <c r="B9" s="29" t="s">
        <v>78</v>
      </c>
    </row>
    <row r="11" spans="2:2" ht="31.5" customHeight="1" x14ac:dyDescent="0.25">
      <c r="B11" s="29" t="s">
        <v>79</v>
      </c>
    </row>
    <row r="13" spans="2:2" ht="38.25" x14ac:dyDescent="0.25">
      <c r="B13" s="29" t="s">
        <v>80</v>
      </c>
    </row>
    <row r="15" spans="2:2" ht="31.5" customHeight="1" x14ac:dyDescent="0.25">
      <c r="B15" s="29" t="s">
        <v>81</v>
      </c>
    </row>
    <row r="17" spans="2:2" ht="38.25" x14ac:dyDescent="0.25">
      <c r="B17" s="29" t="s">
        <v>82</v>
      </c>
    </row>
    <row r="19" spans="2:2" ht="31.5" customHeight="1" x14ac:dyDescent="0.25">
      <c r="B19" s="29" t="s">
        <v>83</v>
      </c>
    </row>
    <row r="21" spans="2:2" ht="31.5" customHeight="1" x14ac:dyDescent="0.25">
      <c r="B21" s="29" t="s">
        <v>84</v>
      </c>
    </row>
    <row r="23" spans="2:2" ht="31.5" customHeight="1" x14ac:dyDescent="0.25">
      <c r="B23" s="29" t="s">
        <v>85</v>
      </c>
    </row>
    <row r="25" spans="2:2" ht="31.5" customHeight="1" x14ac:dyDescent="0.25">
      <c r="B25" s="29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Paramètres</vt:lpstr>
      <vt:lpstr>Adhérents</vt:lpstr>
      <vt:lpstr>Paiements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cp:lastPrinted>2026-07-31T08:42:13Z</cp:lastPrinted>
  <dcterms:created xsi:type="dcterms:W3CDTF">2026-07-27T10:11:50Z</dcterms:created>
  <dcterms:modified xsi:type="dcterms:W3CDTF">2026-09-11T09:23:04Z</dcterms:modified>
  <dc:language>en-US</dc:language>
</cp:coreProperties>
</file>